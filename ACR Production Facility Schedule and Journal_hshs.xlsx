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5 v. INVENTORY OF BRICKS" sheetId="1" r:id="rId5"/>
    <sheet state="visible" name="SCHEDULE OF ACTIVITIES" sheetId="2" r:id="rId6"/>
    <sheet state="visible" name="2026 v. INVENTORY OF BRICKS" sheetId="3" r:id="rId7"/>
    <sheet state="visible" name="2026 v. INVENTORY FOR CLAY MIXT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tc={15127e34-5486-4936-a866-ee7aade01014}</author>
    <author>tc={2b0e1df4-fdf2-4c9f-ab2d-a3631a081991}</author>
    <author>tc={6b928076-7334-463b-a6ab-f9fd0c5d9ab0}</author>
    <author>tc={9a30906e-78de-4139-a09c-7d0c4a200f63}</author>
    <author>tc={ea9428be-90de-4a4e-9acf-c6208afdc9e5}</author>
  </authors>
  <commentList>
    <comment authorId="0" xr:uid="{15127e34-5486-4936-a866-ee7aade01014}" ref="L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from the old bricks being fired: 
fit w/o cracks-- 42
fit w/ cracks- 7
Do Not Fit w/o cracks- 33
Do not Fit w/ cracks- 24
use as testing- 1
additional that do not fit w/out crack- 2
</t>
      </text>
    </comment>
    <comment authorId="1" xr:uid="{2b0e1df4-fdf2-4c9f-ab2d-a3631a081991}" ref="L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 out of 174 are with cracks. possible cause: (1) transferring of bricks (during drying) due to shortage of base board;(2) warp base board.
recommendation: purchase of new board.
</t>
      </text>
    </comment>
    <comment authorId="2" xr:uid="{6b928076-7334-463b-a6ab-f9fd0c5d9ab0}" ref="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 Bricks were rejected due to quality issue.
</t>
      </text>
    </comment>
    <comment authorId="3" xr:uid="{9a30906e-78de-4139-a09c-7d0c4a200f63}" ref="A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240 were deployed on oct. 27,28
</t>
      </text>
    </comment>
    <comment authorId="4" xr:uid="{ea9428be-90de-4a4e-9acf-c6208afdc9e5}" ref="C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 bricks were recycled due to cracks by earthquakes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tc={03d078b7-53e5-4dc8-be8d-5b56dc48f534}</author>
    <author>tc={09dfbeff-580f-4543-a3d6-39080167c918}</author>
    <author>tc={3deede92-501b-4639-8c80-7034b833d39b}</author>
    <author>tc={5f4ac75d-45bc-4b62-b3c5-f76d883a1396}</author>
    <author>tc={6aecb5e8-7d9a-456b-a42a-bee7149181f4}</author>
    <author>tc={90dba8e9-ca3f-495b-ad22-4ff83a794bb3}</author>
    <author>tc={a29dfbfc-0708-43b6-8497-36b6d79d9f63}</author>
    <author>tc={b53ba61e-a58f-4dd7-b061-8c869cb62384}</author>
    <author>tc={ccbd97b6-9d13-4e14-a86f-929d4aa08a08}</author>
    <author>tc={d378550a-e043-4134-aae3-1bad07da24e5}</author>
  </authors>
  <commentList>
    <comment authorId="0" xr:uid="{03d078b7-53e5-4dc8-be8d-5b56dc48f53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if negative means deficit otherwise it is excess.
</t>
      </text>
    </comment>
    <comment authorId="1" xr:uid="{09dfbeff-580f-4543-a3d6-39080167c91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nino was assigned instead of Ross
</t>
      </text>
    </comment>
    <comment authorId="2" xr:uid="{3deede92-501b-4639-8c80-7034b833d39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EARTHQUAKE TIME. FIRING POSTPONE
</t>
      </text>
    </comment>
    <comment authorId="3" xr:uid="{5f4ac75d-45bc-4b62-b3c5-f76d883a139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Firing due to insufficient supply of LPG.
</t>
      </text>
    </comment>
    <comment authorId="4" xr:uid="{6aecb5e8-7d9a-456b-a42a-bee7149181f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duty. mental health break
</t>
      </text>
    </comment>
    <comment authorId="5" xr:uid="{90dba8e9-ca3f-495b-ad22-4ff83a794bb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Nino was absent and Printing was done by Ross
</t>
      </text>
    </comment>
    <comment authorId="6" xr:uid="{a29dfbfc-0708-43b6-8497-36b6d79d9f6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Firing was moved in Wednesday
Reply:
	the firing was moved on thursday due to the leakage
</t>
      </text>
    </comment>
    <comment authorId="7" xr:uid="{b53ba61e-a58f-4dd7-b061-8c869cb6238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Nino was assigned in printing.
</t>
      </text>
    </comment>
    <comment authorId="8" xr:uid="{ccbd97b6-9d13-4e14-a86f-929d4aa08a0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yet screened
</t>
      </text>
    </comment>
    <comment authorId="9" xr:uid="{d378550a-e043-4134-aae3-1bad07da24e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firing schedule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tc={bd81882b-f3ef-416f-813c-4133e255b0e3}</author>
    <author>tc={dba9edf3-34b6-4c39-9a66-6f94248103c3}</author>
  </authors>
  <commentList>
    <comment authorId="0" xr:uid="{bd81882b-f3ef-416f-813c-4133e255b0e3}" ref="F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delivered to Cebu
</t>
      </text>
    </comment>
    <comment authorId="1" xr:uid="{dba9edf3-34b6-4c39-9a66-6f94248103c3}" ref="F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 abby's place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tc={75d63803-9832-4b9b-806a-893f6afebac9}</author>
    <author>tc={a866a910-ecb7-48b7-bae7-f7b737839d68}</author>
    <author>tc={ee1a872c-3c67-4f1b-8bfc-abc27fdf3dac}</author>
  </authors>
  <commentList>
    <comment authorId="0" xr:uid="{75d63803-9832-4b9b-806a-893f6afebac9}" ref="J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weight of newly printer brick is approximately 10 kg.
Reply:
	weighing performed on march 17, 2026 2:00 pm.
</t>
      </text>
    </comment>
    <comment authorId="1" xr:uid="{a866a910-ecb7-48b7-bae7-f7b737839d68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RTP Mix= Ready-to-Print Mix
</t>
      </text>
    </comment>
    <comment authorId="2" xr:uid="{ee1a872c-3c67-4f1b-8bfc-abc27fdf3dac}" ref="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newly printed bricks consumes approximately 8 kg of RTP.
</t>
      </text>
    </comment>
  </commentList>
</comments>
</file>

<file path=xl/sharedStrings.xml><?xml version="1.0" encoding="utf-8"?>
<sst xmlns="http://schemas.openxmlformats.org/spreadsheetml/2006/main" count="184" uniqueCount="130">
  <si>
    <t>Column 1</t>
  </si>
  <si>
    <t>Newly Printed</t>
  </si>
  <si>
    <t>Air Dried</t>
  </si>
  <si>
    <t>Bricks in the Kiln for firing</t>
  </si>
  <si>
    <t>Already Fired</t>
  </si>
  <si>
    <t>Reclaimed (newly Printed)</t>
  </si>
  <si>
    <t>Reclaimed (Air Dried)</t>
  </si>
  <si>
    <t>Available Pre-filled Bricks</t>
  </si>
  <si>
    <t>Deployed</t>
  </si>
  <si>
    <t>Total Air Dried</t>
  </si>
  <si>
    <t>Actual Count</t>
  </si>
  <si>
    <t>Total Fired</t>
  </si>
  <si>
    <t>Overall Total</t>
  </si>
  <si>
    <t>Remarks/ Comment</t>
  </si>
  <si>
    <t>Deficit</t>
  </si>
  <si>
    <t>most bricks were over burnt</t>
  </si>
  <si>
    <t>1 brick was recycled due to crack at the base</t>
  </si>
  <si>
    <t>240 bricks were deployed on oct 27 &amp; 28.  61 bricks can be used only, 5 bricks were test sample, 21 bricks were old model, 5 were tested and fully damaged, 7 were used for display and 1 brick was not returned by Mauro</t>
  </si>
  <si>
    <t>reclaimed printed bricks was due to pin problem</t>
  </si>
  <si>
    <t>reclaimed air dried brick was due to uneven flooring</t>
  </si>
  <si>
    <r>
      <rPr>
        <rFont val="Arial"/>
        <color theme="1"/>
      </rPr>
      <t xml:space="preserve">the 25 old model were washed by rain. </t>
    </r>
    <r>
      <rPr>
        <rFont val="Arial"/>
        <b/>
        <color theme="1"/>
      </rPr>
      <t>16 old model were not included in the counting.</t>
    </r>
  </si>
  <si>
    <t xml:space="preserve"> </t>
  </si>
  <si>
    <t>65 bricks were prepared for deployment</t>
  </si>
  <si>
    <t>fired bricks with 2 minor cracks</t>
  </si>
  <si>
    <t>fired bricks with 1 major crack.</t>
  </si>
  <si>
    <t>2 bricks with cracks.</t>
  </si>
  <si>
    <t>3 bricks with cracks.</t>
  </si>
  <si>
    <t>5 bricks with cracks</t>
  </si>
  <si>
    <t>3 bricks with major cracks</t>
  </si>
  <si>
    <t>12 bricks with major cracks</t>
  </si>
  <si>
    <t>with 3 cracks</t>
  </si>
  <si>
    <t>no printing due to insufficient ply board for base</t>
  </si>
  <si>
    <t>2 bricks with crack</t>
  </si>
  <si>
    <t xml:space="preserve"> Total (Mon. of Jan)</t>
  </si>
  <si>
    <t>work suspended due to weather</t>
  </si>
  <si>
    <t>Weekly Total Output</t>
  </si>
  <si>
    <t>deficit: -34</t>
  </si>
  <si>
    <t>recliamed brick was due to the pin issue .</t>
  </si>
  <si>
    <t>with only 3 minor cracks</t>
  </si>
  <si>
    <t>excess: 17 bricks. only 12 more bricks to print to remove deficit.                                  62 fired bricks were packed ready for delivery.</t>
  </si>
  <si>
    <t>HOLIDAY-CHINESE NEW YEAR</t>
  </si>
  <si>
    <t>WORK SUSPENDED DUE TO HEAVY RAIN</t>
  </si>
  <si>
    <t>WEEKLY TOTAL OUTPUT</t>
  </si>
  <si>
    <t>TASK</t>
  </si>
  <si>
    <t>ASSIGN PER DAY</t>
  </si>
  <si>
    <t>TARGET</t>
  </si>
  <si>
    <t>REMARKS</t>
  </si>
  <si>
    <t>MONDAY</t>
  </si>
  <si>
    <t>TUESDAY</t>
  </si>
  <si>
    <t>WEDNESDAY</t>
  </si>
  <si>
    <t>THURSDAY</t>
  </si>
  <si>
    <t>FRIDAY</t>
  </si>
  <si>
    <t>1. Printing of Bricks</t>
  </si>
  <si>
    <t>Niño</t>
  </si>
  <si>
    <t>Ross</t>
  </si>
  <si>
    <t>Edward</t>
  </si>
  <si>
    <t>Carlo</t>
  </si>
  <si>
    <t>Aljon</t>
  </si>
  <si>
    <t>16 bricks per day</t>
  </si>
  <si>
    <t>2.  Wet Mixing of Clay/ Kneading of Clay</t>
  </si>
  <si>
    <t>Ross, Edward</t>
  </si>
  <si>
    <t>Edward, Carlo</t>
  </si>
  <si>
    <t>Carlo, Aljon</t>
  </si>
  <si>
    <t>Aljon, Niño</t>
  </si>
  <si>
    <t>Niño, Ross</t>
  </si>
  <si>
    <t>200 kg of clay mix</t>
  </si>
  <si>
    <t>3. Dry Grinding of Clay/ Dry Mixing of Clay</t>
  </si>
  <si>
    <t>Taguibo clay: 134 kg  Calapagan clay: 7.4 kg   Sand: 7.4 kg</t>
  </si>
  <si>
    <r>
      <rPr>
        <rFont val="Arial"/>
        <color theme="1"/>
      </rPr>
      <t xml:space="preserve">Niño / </t>
    </r>
    <r>
      <rPr>
        <rFont val="Arial"/>
        <color rgb="FF0000FF"/>
      </rPr>
      <t>(Aljon)</t>
    </r>
  </si>
  <si>
    <t>WFH</t>
  </si>
  <si>
    <t>20 Bricks per day</t>
  </si>
  <si>
    <r>
      <rPr>
        <rFont val="Arial"/>
        <color theme="1"/>
      </rPr>
      <t xml:space="preserve">Ross, Edward / </t>
    </r>
    <r>
      <rPr>
        <rFont val="Arial"/>
        <color rgb="FF0000FF"/>
      </rPr>
      <t>(Niño, Ross)</t>
    </r>
  </si>
  <si>
    <t xml:space="preserve">Carlo, Aljon </t>
  </si>
  <si>
    <t>250 kg of clay mix</t>
  </si>
  <si>
    <t>3. Dry Grinding &amp; Mixing of Clay</t>
  </si>
  <si>
    <r>
      <rPr>
        <rFont val="Arial"/>
        <color theme="1"/>
      </rPr>
      <t>Carlo, Aljon</t>
    </r>
    <r>
      <rPr>
        <rFont val="Arial"/>
        <color rgb="FF0000FF"/>
      </rPr>
      <t xml:space="preserve"> (Edward, Carlo)</t>
    </r>
  </si>
  <si>
    <t>follow per 100 kg mix</t>
  </si>
  <si>
    <t>67kg : 3.9 kg : 3.9 kg : 25.2 kg</t>
  </si>
  <si>
    <t xml:space="preserve">  </t>
  </si>
  <si>
    <t>DATE</t>
  </si>
  <si>
    <t>Deployed /                      Delivered</t>
  </si>
  <si>
    <t>Bricks with cracks</t>
  </si>
  <si>
    <t>deficit due to suspension of work:  28                 deficit during WD: 6</t>
  </si>
  <si>
    <t>with only 3 minor cracks( hairline cracks)</t>
  </si>
  <si>
    <t xml:space="preserve">excess: 15 units of bricks </t>
  </si>
  <si>
    <t>with 1 major cracks and 5 hairline cracks.</t>
  </si>
  <si>
    <t>deficit due to suspension of work (SoW): 38                 deficit during Working Days (WD) : 4</t>
  </si>
  <si>
    <t>2 with major cracks; 1 with hairline cracks.</t>
  </si>
  <si>
    <t>HOLIDAY- NINOY AQUINO ANI./ WFH SET-UP     62 bricks shipped to the cebu</t>
  </si>
  <si>
    <t>brown out occured on afternoon 4pm</t>
  </si>
  <si>
    <t>4 with cracks</t>
  </si>
  <si>
    <t>TOTAL OUTPUT (FEB)</t>
  </si>
  <si>
    <t xml:space="preserve">With two (2) cracks from the surface and internal structure </t>
  </si>
  <si>
    <t>prio the printing of 183 mini bricks</t>
  </si>
  <si>
    <t>40 bricks were used for exhibit at davao</t>
  </si>
  <si>
    <t>brown out occur on 6:40pm. 183 mini bricks were fired: 7 with defect and 176 are good</t>
  </si>
  <si>
    <t>41 bricks with cracks (Hairline and Major Cracks). | insufficient base boards</t>
  </si>
  <si>
    <t>Work From Home as per Memo</t>
  </si>
  <si>
    <t>ACTUAL COUNTING</t>
  </si>
  <si>
    <t xml:space="preserve">40 with cracks ; 4 with sika infill-ready to be inst. ; 7 on display ; 30 for porosity testing; 359 w/out sika but good bricks. </t>
  </si>
  <si>
    <t>2 w/ cracks</t>
  </si>
  <si>
    <t>1 w/ crack</t>
  </si>
  <si>
    <t>with 2 crack</t>
  </si>
  <si>
    <t>21 bricks were returned from exhibit last week; 5 were broken during there unloading and 20 were retained by Abby to be used for future exhibits.</t>
  </si>
  <si>
    <t>WFH Set-up; half day duty</t>
  </si>
  <si>
    <t>1 with cracks</t>
  </si>
  <si>
    <t>5 bricks with infill</t>
  </si>
  <si>
    <t>Available Taguibo Clay                  (No. of Bags)</t>
  </si>
  <si>
    <t>Available Calapagan Clay                  (kg)</t>
  </si>
  <si>
    <t>Available Fine Sand               (kg)</t>
  </si>
  <si>
    <t>Soaked Clay for the Day             (in kg)</t>
  </si>
  <si>
    <t>Total Soaked Clay Mixture,                   (in kg)</t>
  </si>
  <si>
    <t>Prepared RTP Mix for the Day                            (in kg)</t>
  </si>
  <si>
    <t>Reclaimed RTP Mix,                         (in kg)</t>
  </si>
  <si>
    <t>Total Available  + Remaining  RTP Mix                    (in kg)</t>
  </si>
  <si>
    <t>USED RTP Mix,       (in kg)</t>
  </si>
  <si>
    <t>Total Remaing RTP  Mix                      (in kg)</t>
  </si>
  <si>
    <t xml:space="preserve">TARGET SOAKED CLAY MIXTURE                                   (in kg) </t>
  </si>
  <si>
    <t xml:space="preserve">TARGET PREPARED CLAY MIXTURE                            (in kg) </t>
  </si>
  <si>
    <t>regular working days suspended due to bad weather.</t>
  </si>
  <si>
    <t>Holiday</t>
  </si>
  <si>
    <t>regular working days suspended due to bad weather.(half day)</t>
  </si>
  <si>
    <t>Holiday - Ninoy Aquino day</t>
  </si>
  <si>
    <t xml:space="preserve">TOTAL </t>
  </si>
  <si>
    <t>no more supply; vehicle used for hauling incur damage during transport from Taguibo to Marfori.</t>
  </si>
  <si>
    <t>prio the printing of the 183 mini bricks</t>
  </si>
  <si>
    <t>100 kg use to print mini bricks</t>
  </si>
  <si>
    <t>Work-From-Home (WFH)</t>
  </si>
  <si>
    <t>clay still wet</t>
  </si>
  <si>
    <t>WFH; half day only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</si>
</sst>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&quot; &quot;d&quot;, &quot;yyyy"/>
    <numFmt numFmtId="165" formatCode="dddd&quot;, &quot;mmmm&quot; &quot;d&quot;, &quot;yyyy"/>
    <numFmt numFmtId="166" formatCode="mmmm d, yyyy"/>
    <numFmt numFmtId="167" formatCode="ddd&quot;, &quot;mmm&quot; &quot;d&quot;, &quot;yyyy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/>
    <font>
      <b/>
      <color rgb="FFFFFFFF"/>
      <name val="Arial"/>
      <scheme val="minor"/>
    </font>
    <font>
      <b/>
      <color rgb="FF434343"/>
      <name val="Arial"/>
      <scheme val="minor"/>
    </font>
    <font>
      <b/>
      <color rgb="FFFF0000"/>
      <name val="Arial"/>
      <scheme val="minor"/>
    </font>
    <font>
      <color rgb="FF434343"/>
      <name val="Arial"/>
      <scheme val="minor"/>
    </font>
    <font>
      <sz val="10.0"/>
      <color rgb="FF434343"/>
      <name val="Arial"/>
      <scheme val="minor"/>
    </font>
    <font>
      <color rgb="FF000000"/>
      <name val="Arial"/>
      <scheme val="minor"/>
    </font>
    <font>
      <b/>
      <sz val="10.0"/>
      <color theme="1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rgb="FFDD7E6B"/>
        <bgColor rgb="FFDD7E6B"/>
      </patternFill>
    </fill>
    <fill>
      <patternFill patternType="solid">
        <fgColor rgb="FFE06666"/>
        <bgColor rgb="FFE06666"/>
      </patternFill>
    </fill>
    <fill>
      <patternFill patternType="solid">
        <fgColor rgb="FFB45F06"/>
        <bgColor rgb="FFB45F06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  <fill>
      <patternFill patternType="solid">
        <fgColor rgb="FFF6B26B"/>
        <bgColor rgb="FFF6B26B"/>
      </patternFill>
    </fill>
    <fill>
      <patternFill patternType="solid">
        <fgColor rgb="FFD9D2E9"/>
        <bgColor rgb="FFD9D2E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ont="1">
      <alignment horizontal="left" readingOrder="0" shrinkToFit="0" vertical="center" wrapText="1"/>
    </xf>
    <xf borderId="0" fillId="5" fontId="2" numFmtId="0" xfId="0" applyAlignment="1" applyFill="1" applyFont="1">
      <alignment horizontal="center" readingOrder="0"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2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center" readingOrder="0" shrinkToFit="0" vertical="center" wrapText="0"/>
    </xf>
    <xf borderId="0" fillId="4" fontId="3" numFmtId="0" xfId="0" applyAlignment="1" applyFont="1">
      <alignment horizontal="center" shrinkToFit="0" vertical="center" wrapText="1"/>
    </xf>
    <xf borderId="0" fillId="4" fontId="3" numFmtId="0" xfId="0" applyAlignment="1" applyFont="1">
      <alignment horizontal="left" shrinkToFit="0" vertical="center" wrapText="1"/>
    </xf>
    <xf borderId="0" fillId="5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0"/>
    </xf>
    <xf borderId="0" fillId="6" fontId="3" numFmtId="0" xfId="0" applyAlignment="1" applyFill="1" applyFont="1">
      <alignment horizontal="center" readingOrder="0" shrinkToFit="0" vertical="center" wrapText="0"/>
    </xf>
    <xf borderId="0" fillId="3" fontId="3" numFmtId="0" xfId="0" applyAlignment="1" applyFont="1">
      <alignment horizontal="center" shrinkToFit="0" vertical="center" wrapText="0"/>
    </xf>
    <xf borderId="0" fillId="4" fontId="3" numFmtId="0" xfId="0" applyAlignment="1" applyFont="1">
      <alignment horizontal="left" readingOrder="0" shrinkToFit="0" vertical="center" wrapText="1"/>
    </xf>
    <xf borderId="0" fillId="7" fontId="3" numFmtId="164" xfId="0" applyAlignment="1" applyFill="1" applyFont="1" applyNumberFormat="1">
      <alignment horizontal="center" readingOrder="0" shrinkToFit="0" vertical="center" wrapText="0"/>
    </xf>
    <xf borderId="0" fillId="7" fontId="3" numFmtId="0" xfId="0" applyAlignment="1" applyFont="1">
      <alignment horizontal="center" readingOrder="0" shrinkToFit="0" vertical="center" wrapText="0"/>
    </xf>
    <xf borderId="0" fillId="7" fontId="3" numFmtId="0" xfId="0" applyAlignment="1" applyFont="1">
      <alignment horizontal="center" shrinkToFit="0" vertical="center" wrapText="1"/>
    </xf>
    <xf borderId="0" fillId="7" fontId="3" numFmtId="0" xfId="0" applyAlignment="1" applyFont="1">
      <alignment horizontal="left" readingOrder="0" shrinkToFit="0" vertical="center" wrapText="1"/>
    </xf>
    <xf borderId="0" fillId="5" fontId="3" numFmtId="0" xfId="0" applyAlignment="1" applyFont="1">
      <alignment horizontal="center"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5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0" fillId="8" fontId="3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vertical="center"/>
    </xf>
    <xf borderId="0" fillId="9" fontId="3" numFmtId="0" xfId="0" applyAlignment="1" applyFill="1" applyFont="1">
      <alignment horizontal="center" readingOrder="0" shrinkToFit="0" vertical="center" wrapText="0"/>
    </xf>
    <xf borderId="0" fillId="10" fontId="3" numFmtId="164" xfId="0" applyAlignment="1" applyFill="1" applyFont="1" applyNumberFormat="1">
      <alignment horizontal="center" readingOrder="0" shrinkToFit="0" vertical="center" wrapText="0"/>
    </xf>
    <xf borderId="0" fillId="10" fontId="3" numFmtId="0" xfId="0" applyAlignment="1" applyFont="1">
      <alignment horizontal="center" readingOrder="0" shrinkToFit="0" vertical="center" wrapText="0"/>
    </xf>
    <xf borderId="0" fillId="10" fontId="3" numFmtId="0" xfId="0" applyAlignment="1" applyFont="1">
      <alignment horizontal="center" shrinkToFit="0" vertical="center" wrapText="1"/>
    </xf>
    <xf borderId="0" fillId="10" fontId="3" numFmtId="0" xfId="0" applyAlignment="1" applyFont="1">
      <alignment horizontal="center" shrinkToFit="0" vertical="center" wrapText="0"/>
    </xf>
    <xf borderId="0" fillId="10" fontId="3" numFmtId="0" xfId="0" applyAlignment="1" applyFont="1">
      <alignment horizontal="left" shrinkToFit="0" vertical="center" wrapText="1"/>
    </xf>
    <xf borderId="0" fillId="10" fontId="3" numFmtId="0" xfId="0" applyAlignment="1" applyFont="1">
      <alignment horizontal="center" readingOrder="0" vertical="center"/>
    </xf>
    <xf borderId="0" fillId="10" fontId="3" numFmtId="0" xfId="0" applyAlignment="1" applyFont="1">
      <alignment readingOrder="0"/>
    </xf>
    <xf borderId="0" fillId="10" fontId="3" numFmtId="0" xfId="0" applyFont="1"/>
    <xf borderId="0" fillId="7" fontId="1" numFmtId="0" xfId="0" applyAlignment="1" applyFont="1">
      <alignment horizontal="center" readingOrder="0" shrinkToFit="0" vertical="center" wrapText="0"/>
    </xf>
    <xf borderId="0" fillId="7" fontId="1" numFmtId="0" xfId="0" applyAlignment="1" applyFont="1">
      <alignment horizontal="center" readingOrder="0" shrinkToFit="0" vertical="center" wrapText="0"/>
    </xf>
    <xf borderId="0" fillId="7" fontId="1" numFmtId="0" xfId="0" applyAlignment="1" applyFont="1">
      <alignment horizontal="center" shrinkToFit="0" vertical="center" wrapText="1"/>
    </xf>
    <xf borderId="0" fillId="7" fontId="1" numFmtId="0" xfId="0" applyAlignment="1" applyFont="1">
      <alignment horizontal="center" shrinkToFit="0" vertical="center" wrapText="0"/>
    </xf>
    <xf borderId="0" fillId="7" fontId="1" numFmtId="0" xfId="0" applyAlignment="1" applyFont="1">
      <alignment horizontal="left" shrinkToFit="0" vertical="center" wrapText="1"/>
    </xf>
    <xf borderId="0" fillId="7" fontId="1" numFmtId="0" xfId="0" applyAlignment="1" applyFont="1">
      <alignment horizontal="center" readingOrder="0" vertical="center"/>
    </xf>
    <xf borderId="0" fillId="7" fontId="1" numFmtId="0" xfId="0" applyAlignment="1" applyFont="1">
      <alignment readingOrder="0"/>
    </xf>
    <xf borderId="0" fillId="7" fontId="1" numFmtId="0" xfId="0" applyFont="1"/>
    <xf borderId="0" fillId="7" fontId="1" numFmtId="0" xfId="0" applyAlignment="1" applyFont="1">
      <alignment horizontal="left" readingOrder="0" shrinkToFit="0" vertical="center" wrapText="1"/>
    </xf>
    <xf borderId="0" fillId="5" fontId="3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7" fontId="3" numFmtId="0" xfId="0" applyAlignment="1" applyFont="1">
      <alignment horizontal="center" shrinkToFit="0" vertical="center" wrapText="0"/>
    </xf>
    <xf borderId="0" fillId="7" fontId="3" numFmtId="0" xfId="0" applyAlignment="1" applyFont="1">
      <alignment horizontal="center" readingOrder="0" shrinkToFit="0" vertical="center" wrapText="0"/>
    </xf>
    <xf borderId="0" fillId="7" fontId="3" numFmtId="0" xfId="0" applyAlignment="1" applyFont="1">
      <alignment horizontal="center" readingOrder="0" vertical="center"/>
    </xf>
    <xf borderId="0" fillId="7" fontId="3" numFmtId="0" xfId="0" applyAlignment="1" applyFont="1">
      <alignment readingOrder="0"/>
    </xf>
    <xf borderId="0" fillId="7" fontId="3" numFmtId="0" xfId="0" applyFont="1"/>
    <xf borderId="0" fillId="0" fontId="3" numFmtId="0" xfId="0" applyAlignment="1" applyFont="1">
      <alignment horizontal="left" shrinkToFit="0" vertical="center" wrapText="1"/>
    </xf>
    <xf borderId="1" fillId="5" fontId="1" numFmtId="0" xfId="0" applyAlignment="1" applyBorder="1" applyFont="1">
      <alignment horizontal="center" readingOrder="0" vertical="center"/>
    </xf>
    <xf borderId="2" fillId="5" fontId="1" numFmtId="0" xfId="0" applyAlignment="1" applyBorder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0" fillId="11" fontId="3" numFmtId="0" xfId="0" applyFill="1" applyFont="1"/>
    <xf borderId="5" fillId="0" fontId="4" numFmtId="0" xfId="0" applyBorder="1" applyFont="1"/>
    <xf borderId="6" fillId="5" fontId="1" numFmtId="0" xfId="0" applyAlignment="1" applyBorder="1" applyFont="1">
      <alignment horizontal="center" readingOrder="0"/>
    </xf>
    <xf borderId="6" fillId="12" fontId="3" numFmtId="0" xfId="0" applyAlignment="1" applyBorder="1" applyFill="1" applyFont="1">
      <alignment horizontal="left" readingOrder="0" vertical="center"/>
    </xf>
    <xf borderId="6" fillId="12" fontId="3" numFmtId="0" xfId="0" applyBorder="1" applyFont="1"/>
    <xf borderId="6" fillId="12" fontId="3" numFmtId="0" xfId="0" applyAlignment="1" applyBorder="1" applyFont="1">
      <alignment horizontal="left" readingOrder="0" shrinkToFit="0" vertical="center" wrapText="1"/>
    </xf>
    <xf borderId="6" fillId="12" fontId="3" numFmtId="0" xfId="0" applyAlignment="1" applyBorder="1" applyFont="1">
      <alignment readingOrder="0" shrinkToFit="0" wrapText="1"/>
    </xf>
    <xf borderId="6" fillId="12" fontId="3" numFmtId="0" xfId="0" applyAlignment="1" applyBorder="1" applyFont="1">
      <alignment readingOrder="0"/>
    </xf>
    <xf borderId="0" fillId="11" fontId="3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4" fontId="6" numFmtId="0" xfId="0" applyAlignment="1" applyFont="1">
      <alignment horizontal="left" readingOrder="0" shrinkToFit="0" vertical="center" wrapText="1"/>
    </xf>
    <xf borderId="0" fillId="13" fontId="3" numFmtId="165" xfId="0" applyAlignment="1" applyFill="1" applyFont="1" applyNumberFormat="1">
      <alignment horizontal="left" readingOrder="0" shrinkToFit="0" vertical="center" wrapText="0"/>
    </xf>
    <xf borderId="0" fillId="13" fontId="3" numFmtId="0" xfId="0" applyAlignment="1" applyFont="1">
      <alignment horizontal="center" readingOrder="0" shrinkToFit="0" vertical="center" wrapText="0"/>
    </xf>
    <xf borderId="0" fillId="13" fontId="7" numFmtId="0" xfId="0" applyAlignment="1" applyFont="1">
      <alignment horizontal="center" readingOrder="0" shrinkToFit="0" vertical="center" wrapText="0"/>
    </xf>
    <xf borderId="0" fillId="13" fontId="3" numFmtId="0" xfId="0" applyAlignment="1" applyFont="1">
      <alignment horizontal="center" readingOrder="0" shrinkToFit="0" vertical="center" wrapText="1"/>
    </xf>
    <xf borderId="0" fillId="13" fontId="3" numFmtId="0" xfId="0" applyAlignment="1" applyFont="1">
      <alignment horizontal="center" shrinkToFit="0" vertical="center" wrapText="1"/>
    </xf>
    <xf borderId="0" fillId="13" fontId="8" numFmtId="0" xfId="0" applyAlignment="1" applyFont="1">
      <alignment horizontal="left" shrinkToFit="0" vertical="center" wrapText="1"/>
    </xf>
    <xf borderId="0" fillId="13" fontId="3" numFmtId="0" xfId="0" applyAlignment="1" applyFont="1">
      <alignment horizontal="center" readingOrder="0" vertical="center"/>
    </xf>
    <xf borderId="0" fillId="13" fontId="3" numFmtId="0" xfId="0" applyAlignment="1" applyFont="1">
      <alignment readingOrder="0"/>
    </xf>
    <xf borderId="0" fillId="13" fontId="3" numFmtId="0" xfId="0" applyFont="1"/>
    <xf borderId="0" fillId="0" fontId="3" numFmtId="165" xfId="0" applyAlignment="1" applyFont="1" applyNumberFormat="1">
      <alignment horizontal="left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4" fontId="8" numFmtId="0" xfId="0" applyAlignment="1" applyFont="1">
      <alignment horizontal="left" readingOrder="0" shrinkToFit="0" vertical="center" wrapText="1"/>
    </xf>
    <xf borderId="0" fillId="4" fontId="8" numFmtId="0" xfId="0" applyAlignment="1" applyFont="1">
      <alignment horizontal="left" shrinkToFit="0" vertical="center" wrapText="1"/>
    </xf>
    <xf borderId="0" fillId="13" fontId="3" numFmtId="0" xfId="0" applyAlignment="1" applyFont="1">
      <alignment horizontal="center" shrinkToFit="0" vertical="center" wrapText="0"/>
    </xf>
    <xf borderId="0" fillId="7" fontId="1" numFmtId="0" xfId="0" applyAlignment="1" applyFont="1">
      <alignment horizontal="left" readingOrder="0" shrinkToFit="0" vertical="center" wrapText="0"/>
    </xf>
    <xf borderId="0" fillId="7" fontId="7" numFmtId="0" xfId="0" applyAlignment="1" applyFont="1">
      <alignment horizontal="center" readingOrder="0" shrinkToFit="0" vertical="center" wrapText="0"/>
    </xf>
    <xf borderId="0" fillId="7" fontId="6" numFmtId="0" xfId="0" applyAlignment="1" applyFont="1">
      <alignment horizontal="left" shrinkToFit="0" vertical="center" wrapText="1"/>
    </xf>
    <xf borderId="0" fillId="14" fontId="3" numFmtId="165" xfId="0" applyAlignment="1" applyFill="1" applyFont="1" applyNumberFormat="1">
      <alignment horizontal="left" readingOrder="0" shrinkToFit="0" vertical="center" wrapText="0"/>
    </xf>
    <xf borderId="0" fillId="14" fontId="3" numFmtId="0" xfId="0" applyAlignment="1" applyFont="1">
      <alignment horizontal="center" readingOrder="0" shrinkToFit="0" vertical="center" wrapText="0"/>
    </xf>
    <xf borderId="0" fillId="14" fontId="7" numFmtId="0" xfId="0" applyAlignment="1" applyFont="1">
      <alignment horizontal="center" readingOrder="0" shrinkToFit="0" vertical="center" wrapText="0"/>
    </xf>
    <xf borderId="0" fillId="14" fontId="3" numFmtId="0" xfId="0" applyAlignment="1" applyFont="1">
      <alignment horizontal="center" shrinkToFit="0" vertical="center" wrapText="1"/>
    </xf>
    <xf borderId="0" fillId="14" fontId="3" numFmtId="0" xfId="0" applyAlignment="1" applyFont="1">
      <alignment horizontal="center" shrinkToFit="0" vertical="center" wrapText="0"/>
    </xf>
    <xf borderId="0" fillId="14" fontId="8" numFmtId="0" xfId="0" applyAlignment="1" applyFont="1">
      <alignment horizontal="left" readingOrder="0" shrinkToFit="0" vertical="center" wrapText="1"/>
    </xf>
    <xf borderId="0" fillId="14" fontId="3" numFmtId="0" xfId="0" applyAlignment="1" applyFont="1">
      <alignment horizontal="center" readingOrder="0" vertical="center"/>
    </xf>
    <xf borderId="0" fillId="14" fontId="3" numFmtId="0" xfId="0" applyAlignment="1" applyFont="1">
      <alignment readingOrder="0"/>
    </xf>
    <xf borderId="0" fillId="14" fontId="3" numFmtId="0" xfId="0" applyFont="1"/>
    <xf borderId="0" fillId="15" fontId="1" numFmtId="0" xfId="0" applyAlignment="1" applyFill="1" applyFont="1">
      <alignment horizontal="left" readingOrder="0" shrinkToFit="0" vertical="center" wrapText="0"/>
    </xf>
    <xf borderId="0" fillId="15" fontId="1" numFmtId="0" xfId="0" applyAlignment="1" applyFont="1">
      <alignment horizontal="center" readingOrder="0" shrinkToFit="0" vertical="center" wrapText="0"/>
    </xf>
    <xf borderId="0" fillId="15" fontId="7" numFmtId="0" xfId="0" applyAlignment="1" applyFont="1">
      <alignment horizontal="center" readingOrder="0" shrinkToFit="0" vertical="center" wrapText="0"/>
    </xf>
    <xf borderId="0" fillId="15" fontId="1" numFmtId="0" xfId="0" applyAlignment="1" applyFont="1">
      <alignment horizontal="center" shrinkToFit="0" vertical="center" wrapText="1"/>
    </xf>
    <xf borderId="0" fillId="15" fontId="1" numFmtId="0" xfId="0" applyAlignment="1" applyFont="1">
      <alignment horizontal="center" shrinkToFit="0" vertical="center" wrapText="0"/>
    </xf>
    <xf borderId="0" fillId="15" fontId="8" numFmtId="0" xfId="0" applyAlignment="1" applyFont="1">
      <alignment horizontal="left" readingOrder="0" shrinkToFit="0" vertical="center" wrapText="1"/>
    </xf>
    <xf borderId="0" fillId="15" fontId="1" numFmtId="0" xfId="0" applyAlignment="1" applyFont="1">
      <alignment horizontal="center" readingOrder="0" vertical="center"/>
    </xf>
    <xf borderId="0" fillId="15" fontId="1" numFmtId="0" xfId="0" applyAlignment="1" applyFont="1">
      <alignment readingOrder="0"/>
    </xf>
    <xf borderId="0" fillId="15" fontId="1" numFmtId="0" xfId="0" applyFont="1"/>
    <xf borderId="0" fillId="15" fontId="9" numFmtId="0" xfId="0" applyAlignment="1" applyFont="1">
      <alignment horizontal="left" readingOrder="0" shrinkToFit="0" vertical="center" wrapText="1"/>
    </xf>
    <xf borderId="0" fillId="14" fontId="3" numFmtId="165" xfId="0" applyAlignment="1" applyFont="1" applyNumberFormat="1">
      <alignment horizontal="center" readingOrder="0" shrinkToFit="0" vertical="center" wrapText="0"/>
    </xf>
    <xf borderId="0" fillId="15" fontId="1" numFmtId="0" xfId="0" applyAlignment="1" applyFont="1">
      <alignment horizontal="center" readingOrder="0" shrinkToFit="0" vertical="center" wrapText="0"/>
    </xf>
    <xf borderId="0" fillId="0" fontId="3" numFmtId="165" xfId="0" applyAlignment="1" applyFont="1" applyNumberFormat="1">
      <alignment horizontal="left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11" fontId="3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15" fontId="3" numFmtId="0" xfId="0" applyAlignment="1" applyFont="1">
      <alignment horizontal="center" shrinkToFit="0" vertical="center" wrapText="1"/>
    </xf>
    <xf borderId="0" fillId="15" fontId="8" numFmtId="0" xfId="0" applyAlignment="1" applyFont="1">
      <alignment horizontal="left" shrinkToFit="0" vertical="center" wrapText="1"/>
    </xf>
    <xf borderId="0" fillId="7" fontId="8" numFmtId="0" xfId="0" applyAlignment="1" applyFont="1">
      <alignment horizontal="left" shrinkToFit="0" vertical="center" wrapText="1"/>
    </xf>
    <xf borderId="0" fillId="15" fontId="6" numFmtId="0" xfId="0" applyAlignment="1" applyFont="1">
      <alignment horizontal="left" shrinkToFit="0" vertical="center" wrapText="1"/>
    </xf>
    <xf borderId="0" fillId="15" fontId="3" numFmtId="0" xfId="0" applyAlignment="1" applyFont="1">
      <alignment horizontal="center" readingOrder="0" shrinkToFit="0" vertical="center" wrapText="0"/>
    </xf>
    <xf borderId="0" fillId="15" fontId="3" numFmtId="0" xfId="0" applyAlignment="1" applyFont="1">
      <alignment horizontal="center" shrinkToFit="0" vertical="center" wrapText="0"/>
    </xf>
    <xf borderId="0" fillId="15" fontId="3" numFmtId="0" xfId="0" applyAlignment="1" applyFont="1">
      <alignment horizontal="center" readingOrder="0" vertical="center"/>
    </xf>
    <xf borderId="0" fillId="15" fontId="3" numFmtId="0" xfId="0" applyAlignment="1" applyFont="1">
      <alignment readingOrder="0"/>
    </xf>
    <xf borderId="0" fillId="15" fontId="3" numFmtId="0" xfId="0" applyFont="1"/>
    <xf borderId="0" fillId="16" fontId="1" numFmtId="0" xfId="0" applyAlignment="1" applyFill="1" applyFont="1">
      <alignment horizontal="left" readingOrder="0" shrinkToFit="0" vertical="center" wrapText="0"/>
    </xf>
    <xf borderId="0" fillId="16" fontId="1" numFmtId="166" xfId="0" applyAlignment="1" applyFont="1" applyNumberFormat="1">
      <alignment horizontal="center" readingOrder="0" shrinkToFit="0" vertical="center" wrapText="0"/>
    </xf>
    <xf borderId="0" fillId="16" fontId="3" numFmtId="0" xfId="0" applyAlignment="1" applyFont="1">
      <alignment horizontal="center" readingOrder="0" shrinkToFit="0" vertical="center" wrapText="0"/>
    </xf>
    <xf borderId="0" fillId="16" fontId="7" numFmtId="0" xfId="0" applyAlignment="1" applyFont="1">
      <alignment horizontal="center" readingOrder="0" shrinkToFit="0" vertical="center" wrapText="0"/>
    </xf>
    <xf borderId="0" fillId="16" fontId="3" numFmtId="0" xfId="0" applyAlignment="1" applyFont="1">
      <alignment horizontal="center" readingOrder="0" shrinkToFit="0" vertical="center" wrapText="1"/>
    </xf>
    <xf borderId="0" fillId="16" fontId="3" numFmtId="0" xfId="0" applyAlignment="1" applyFont="1">
      <alignment horizontal="center" shrinkToFit="0" vertical="center" wrapText="1"/>
    </xf>
    <xf borderId="0" fillId="16" fontId="6" numFmtId="0" xfId="0" applyAlignment="1" applyFont="1">
      <alignment horizontal="left" readingOrder="0" shrinkToFit="0" vertical="center" wrapText="1"/>
    </xf>
    <xf borderId="0" fillId="16" fontId="3" numFmtId="166" xfId="0" applyAlignment="1" applyFont="1" applyNumberFormat="1">
      <alignment horizontal="center" readingOrder="0" shrinkToFit="0" vertical="center" wrapText="0"/>
    </xf>
    <xf borderId="0" fillId="2" fontId="3" numFmtId="0" xfId="0" applyAlignment="1" applyFont="1">
      <alignment horizontal="center" readingOrder="0" shrinkToFit="0" vertical="center" wrapText="1"/>
    </xf>
    <xf borderId="0" fillId="14" fontId="8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17" fontId="3" numFmtId="0" xfId="0" applyAlignment="1" applyFill="1" applyFont="1">
      <alignment horizontal="center" readingOrder="0" shrinkToFit="0" vertical="center" wrapText="0"/>
    </xf>
    <xf borderId="0" fillId="18" fontId="3" numFmtId="0" xfId="0" applyAlignment="1" applyFill="1" applyFont="1">
      <alignment horizontal="center" readingOrder="0" shrinkToFit="0" vertical="center" wrapText="0"/>
    </xf>
    <xf borderId="0" fillId="13" fontId="6" numFmtId="0" xfId="0" applyAlignment="1" applyFont="1">
      <alignment horizontal="left" readingOrder="0" shrinkToFit="0" vertical="center" wrapText="1"/>
    </xf>
    <xf borderId="0" fillId="13" fontId="8" numFmtId="0" xfId="0" applyAlignment="1" applyFont="1">
      <alignment horizontal="left" readingOrder="0" shrinkToFit="0" vertical="center" wrapText="1"/>
    </xf>
    <xf borderId="0" fillId="19" fontId="1" numFmtId="0" xfId="0" applyAlignment="1" applyFill="1" applyFont="1">
      <alignment horizontal="center" readingOrder="0" shrinkToFit="0" vertical="center" wrapText="1"/>
    </xf>
    <xf borderId="0" fillId="20" fontId="1" numFmtId="0" xfId="0" applyAlignment="1" applyFill="1" applyFont="1">
      <alignment horizontal="center" readingOrder="0" shrinkToFit="0" vertical="center" wrapText="1"/>
    </xf>
    <xf borderId="0" fillId="11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21" fontId="2" numFmtId="0" xfId="0" applyAlignment="1" applyFill="1" applyFont="1">
      <alignment horizontal="center" readingOrder="0" shrinkToFit="0" vertical="center" wrapText="1"/>
    </xf>
    <xf borderId="0" fillId="9" fontId="2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0" fillId="22" fontId="1" numFmtId="0" xfId="0" applyAlignment="1" applyFill="1" applyFont="1">
      <alignment horizontal="center" readingOrder="0" shrinkToFit="0" vertical="center" wrapText="1"/>
    </xf>
    <xf borderId="0" fillId="23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13" fontId="3" numFmtId="167" xfId="0" applyAlignment="1" applyFont="1" applyNumberFormat="1">
      <alignment horizontal="center" readingOrder="0" shrinkToFit="0" vertical="center" wrapText="0"/>
    </xf>
    <xf borderId="0" fillId="13" fontId="1" numFmtId="0" xfId="0" applyAlignment="1" applyFont="1">
      <alignment horizontal="center" readingOrder="0" shrinkToFit="0" vertical="center" wrapText="0"/>
    </xf>
    <xf borderId="0" fillId="13" fontId="3" numFmtId="0" xfId="0" applyAlignment="1" applyFont="1">
      <alignment readingOrder="0" shrinkToFit="0" vertical="center" wrapText="0"/>
    </xf>
    <xf borderId="0" fillId="13" fontId="10" numFmtId="0" xfId="0" applyAlignment="1" applyFont="1">
      <alignment horizontal="center" readingOrder="0" shrinkToFit="0" vertical="center" wrapText="0"/>
    </xf>
    <xf borderId="0" fillId="13" fontId="3" numFmtId="0" xfId="0" applyAlignment="1" applyFont="1">
      <alignment shrinkToFit="0" vertical="center" wrapText="1"/>
    </xf>
    <xf borderId="0" fillId="0" fontId="3" numFmtId="167" xfId="0" applyAlignment="1" applyFont="1" applyNumberFormat="1">
      <alignment horizontal="center" readingOrder="0" shrinkToFit="0" vertical="center" wrapText="0"/>
    </xf>
    <xf borderId="0" fillId="19" fontId="3" numFmtId="0" xfId="0" applyAlignment="1" applyFont="1">
      <alignment horizontal="center" readingOrder="0" shrinkToFit="0" vertical="center" wrapText="0"/>
    </xf>
    <xf borderId="0" fillId="20" fontId="3" numFmtId="0" xfId="0" applyAlignment="1" applyFont="1">
      <alignment horizontal="center" readingOrder="0" shrinkToFit="0" vertical="center" wrapText="0"/>
    </xf>
    <xf borderId="0" fillId="11" fontId="3" numFmtId="0" xfId="0" applyAlignment="1" applyFont="1">
      <alignment horizontal="center" readingOrder="0" shrinkToFit="0" vertical="center" wrapText="0"/>
    </xf>
    <xf borderId="0" fillId="21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24" fontId="1" numFmtId="0" xfId="0" applyAlignment="1" applyFill="1" applyFont="1">
      <alignment horizontal="center" readingOrder="0" shrinkToFit="0" vertical="center" wrapText="0"/>
    </xf>
    <xf borderId="0" fillId="4" fontId="10" numFmtId="0" xfId="0" applyAlignment="1" applyFont="1">
      <alignment horizontal="center" readingOrder="0" shrinkToFit="0" vertical="center" wrapText="0"/>
    </xf>
    <xf borderId="0" fillId="22" fontId="10" numFmtId="0" xfId="0" applyAlignment="1" applyFont="1">
      <alignment horizontal="center" readingOrder="0" shrinkToFit="0" vertical="center" wrapText="0"/>
    </xf>
    <xf borderId="0" fillId="23" fontId="10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shrinkToFit="0" vertical="center" wrapText="1"/>
    </xf>
    <xf borderId="0" fillId="14" fontId="3" numFmtId="167" xfId="0" applyAlignment="1" applyFont="1" applyNumberFormat="1">
      <alignment horizontal="center" readingOrder="0" shrinkToFit="0" vertical="center" wrapText="0"/>
    </xf>
    <xf borderId="0" fillId="14" fontId="1" numFmtId="0" xfId="0" applyAlignment="1" applyFont="1">
      <alignment horizontal="center" readingOrder="0" shrinkToFit="0" vertical="center" wrapText="0"/>
    </xf>
    <xf borderId="0" fillId="14" fontId="3" numFmtId="0" xfId="0" applyAlignment="1" applyFont="1">
      <alignment readingOrder="0" shrinkToFit="0" vertical="center" wrapText="0"/>
    </xf>
    <xf borderId="0" fillId="14" fontId="10" numFmtId="0" xfId="0" applyAlignment="1" applyFont="1">
      <alignment horizontal="center" readingOrder="0" shrinkToFit="0" vertical="center" wrapText="0"/>
    </xf>
    <xf borderId="0" fillId="14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3" numFmtId="167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15" fontId="1" numFmtId="0" xfId="0" applyAlignment="1" applyFont="1">
      <alignment horizontal="right" readingOrder="0" shrinkToFit="0" vertical="center" wrapText="0"/>
    </xf>
    <xf borderId="0" fillId="15" fontId="1" numFmtId="0" xfId="0" applyAlignment="1" applyFont="1">
      <alignment readingOrder="0" shrinkToFit="0" vertical="center" wrapText="0"/>
    </xf>
    <xf borderId="0" fillId="15" fontId="2" numFmtId="0" xfId="0" applyAlignment="1" applyFont="1">
      <alignment horizontal="center" readingOrder="0" shrinkToFit="0" vertical="center" wrapText="0"/>
    </xf>
    <xf borderId="0" fillId="15" fontId="1" numFmtId="0" xfId="0" applyAlignment="1" applyFont="1">
      <alignment shrinkToFit="0" vertical="center" wrapText="1"/>
    </xf>
    <xf borderId="0" fillId="13" fontId="1" numFmtId="0" xfId="0" applyAlignment="1" applyFont="1">
      <alignment readingOrder="0" shrinkToFit="0" vertical="center" wrapText="0"/>
    </xf>
    <xf borderId="0" fillId="13" fontId="2" numFmtId="0" xfId="0" applyAlignment="1" applyFont="1">
      <alignment horizontal="center" readingOrder="0" shrinkToFit="0" vertical="center" wrapText="0"/>
    </xf>
    <xf borderId="0" fillId="13" fontId="11" numFmtId="0" xfId="0" applyAlignment="1" applyFont="1">
      <alignment readingOrder="0" shrinkToFit="0" vertical="center" wrapText="1"/>
    </xf>
    <xf borderId="0" fillId="13" fontId="1" numFmtId="0" xfId="0" applyFont="1"/>
    <xf borderId="0" fillId="0" fontId="1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Font="1"/>
    <xf borderId="0" fillId="13" fontId="3" numFmtId="0" xfId="0" applyAlignment="1" applyFont="1">
      <alignment readingOrder="0" shrinkToFit="0" vertical="center" wrapText="1"/>
    </xf>
    <xf borderId="0" fillId="18" fontId="3" numFmtId="167" xfId="0" applyAlignment="1" applyFont="1" applyNumberFormat="1">
      <alignment horizontal="center" readingOrder="0" shrinkToFit="0" vertical="center" wrapText="0"/>
    </xf>
    <xf borderId="0" fillId="18" fontId="1" numFmtId="0" xfId="0" applyAlignment="1" applyFont="1">
      <alignment horizontal="center" readingOrder="0" shrinkToFit="0" vertical="center" wrapText="0"/>
    </xf>
    <xf borderId="0" fillId="18" fontId="1" numFmtId="0" xfId="0" applyAlignment="1" applyFont="1">
      <alignment readingOrder="0" shrinkToFit="0" vertical="center" wrapText="0"/>
    </xf>
    <xf borderId="0" fillId="18" fontId="2" numFmtId="0" xfId="0" applyAlignment="1" applyFont="1">
      <alignment horizontal="center" readingOrder="0" shrinkToFit="0" vertical="center" wrapText="0"/>
    </xf>
    <xf borderId="0" fillId="18" fontId="1" numFmtId="0" xfId="0" applyAlignment="1" applyFont="1">
      <alignment readingOrder="0" shrinkToFit="0" vertical="center" wrapText="1"/>
    </xf>
    <xf borderId="0" fillId="18" fontId="1" numFmtId="0" xfId="0" applyFont="1"/>
    <xf borderId="0" fillId="13" fontId="1" numFmtId="0" xfId="0" applyAlignment="1" applyFont="1">
      <alignment shrinkToFit="0" vertical="center" wrapText="1"/>
    </xf>
    <xf borderId="0" fillId="18" fontId="1" numFmtId="0" xfId="0" applyAlignment="1" applyFont="1">
      <alignment shrinkToFit="0" vertical="center" wrapText="1"/>
    </xf>
    <xf borderId="0" fillId="12" fontId="3" numFmtId="167" xfId="0" applyAlignment="1" applyFont="1" applyNumberFormat="1">
      <alignment horizontal="center" readingOrder="0" shrinkToFit="0" vertical="center" wrapText="0"/>
    </xf>
    <xf borderId="0" fillId="12" fontId="1" numFmtId="0" xfId="0" applyAlignment="1" applyFont="1">
      <alignment horizontal="center" readingOrder="0" shrinkToFit="0" vertical="center" wrapText="0"/>
    </xf>
    <xf borderId="0" fillId="12" fontId="1" numFmtId="0" xfId="0" applyAlignment="1" applyFont="1">
      <alignment readingOrder="0" shrinkToFit="0" vertical="center" wrapText="0"/>
    </xf>
    <xf borderId="0" fillId="12" fontId="2" numFmtId="0" xfId="0" applyAlignment="1" applyFont="1">
      <alignment horizontal="center" readingOrder="0" shrinkToFit="0" vertical="center" wrapText="0"/>
    </xf>
    <xf borderId="0" fillId="12" fontId="3" numFmtId="0" xfId="0" applyAlignment="1" applyFont="1">
      <alignment readingOrder="0" shrinkToFit="0" vertical="center" wrapText="1"/>
    </xf>
    <xf borderId="0" fillId="12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3">
    <tableStyle count="4" pivot="0" name="2025 v. INVENTORY OF BRICK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6 v. INVENTORY OF BRICK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6 v. INVENTORY FOR CLAY MIX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ico Dajao" id="{6ce50e63-3414-4517-81c4-3ceefb3ef27c}" providerId="google-sheets"/>
</x18tc:personList>
</file>

<file path=xl/tables/table1.xml><?xml version="1.0" encoding="utf-8"?>
<table xmlns="http://schemas.openxmlformats.org/spreadsheetml/2006/main" ref="A1:O86" displayName="Inventory_tracker" name="Inventory_tracker" id="1">
  <tableColumns count="15">
    <tableColumn name="Column 1" id="1"/>
    <tableColumn name="Newly Printed" id="2"/>
    <tableColumn name="Air Dried" id="3"/>
    <tableColumn name="Bricks in the Kiln for firing" id="4"/>
    <tableColumn name="Already Fired" id="5"/>
    <tableColumn name="Reclaimed (newly Printed)" id="6"/>
    <tableColumn name="Reclaimed (Air Dried)" id="7"/>
    <tableColumn name="Available Pre-filled Bricks" id="8"/>
    <tableColumn name="Deployed" id="9"/>
    <tableColumn name="Total Air Dried" id="10"/>
    <tableColumn name="Actual Count" id="11"/>
    <tableColumn name="Total Fired" id="12"/>
    <tableColumn name="Overall Total" id="13"/>
    <tableColumn name="Remarks/ Comment" id="14"/>
    <tableColumn name="Deficit" id="15"/>
  </tableColumns>
  <tableStyleInfo name="2025 v. INVENTORY OF BRICKS-style" showColumnStripes="0" showFirstColumn="1" showLastColumn="1" showRowStripes="1"/>
</table>
</file>

<file path=xl/tables/table2.xml><?xml version="1.0" encoding="utf-8"?>
<table xmlns="http://schemas.openxmlformats.org/spreadsheetml/2006/main" ref="A1:M80" displayName="Inventory_tracker_3" name="Inventory_tracker_3" id="2">
  <tableColumns count="13">
    <tableColumn name="DATE" id="1"/>
    <tableColumn name="Newly Printed" id="2"/>
    <tableColumn name="Bricks in the Kiln for firing" id="3"/>
    <tableColumn name="Reclaimed (newly Printed)" id="4"/>
    <tableColumn name="Reclaimed (Air Dried)" id="5"/>
    <tableColumn name="Deployed /                      Delivered" id="6"/>
    <tableColumn name="Bricks with cracks" id="7"/>
    <tableColumn name="Total Air Dried" id="8"/>
    <tableColumn name="Actual Count" id="9"/>
    <tableColumn name="Total Fired" id="10"/>
    <tableColumn name="Overall Total" id="11"/>
    <tableColumn name="Remarks/ Comment" id="12"/>
    <tableColumn name="Deficit" id="13"/>
  </tableColumns>
  <tableStyleInfo name="2026 v. INVENTORY OF BRICKS-style" showColumnStripes="0" showFirstColumn="1" showLastColumn="1" showRowStripes="1"/>
</table>
</file>

<file path=xl/tables/table3.xml><?xml version="1.0" encoding="utf-8"?>
<table xmlns="http://schemas.openxmlformats.org/spreadsheetml/2006/main" ref="A1:N60" displayName="Inventory_tracker_2" name="Inventory_tracker_2" id="3">
  <tableColumns count="14">
    <tableColumn name="DATE" id="1"/>
    <tableColumn name="Available Taguibo Clay                  (No. of Bags)" id="2"/>
    <tableColumn name="Available Calapagan Clay                  (kg)" id="3"/>
    <tableColumn name="Available Fine Sand               (kg)" id="4"/>
    <tableColumn name="Soaked Clay for the Day             (in kg)" id="5"/>
    <tableColumn name="Total Soaked Clay Mixture,                   (in kg)" id="6"/>
    <tableColumn name="Prepared RTP Mix for the Day                            (in kg)" id="7"/>
    <tableColumn name="Reclaimed RTP Mix,                         (in kg)" id="8"/>
    <tableColumn name="Total Available  + Remaining  RTP Mix                    (in kg)" id="9"/>
    <tableColumn name="USED RTP Mix,       (in kg)" id="10"/>
    <tableColumn name="Total Remaing RTP  Mix                      (in kg)" id="11"/>
    <tableColumn name="TARGET SOAKED CLAY MIXTURE                                   (in kg) " id="12"/>
    <tableColumn name="TARGET PREPARED CLAY MIXTURE                            (in kg) " id="13"/>
    <tableColumn name="REMARKS" id="14"/>
  </tableColumns>
  <tableStyleInfo name="2026 v. INVENTORY FOR CLAY MIX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36" dT="2025-12-03T08:19:06.00" personId="{6ce50e63-3414-4517-81c4-3ceefb3ef27c}" id="{2b0e1df4-fdf2-4c9f-ab2d-a3631a081991}" done="0">
    <x18tc:text xml:space="preserve">11 out of 174 are with cracks. possible cause: (1) transferring of bricks (during drying) due to shortage of base board;(2) warp base board.
recommendation: purchase of new board.</x18tc:text>
  </x18tc:threadedComment>
  <x18tc:threadedComment ref="A13" dT="2025-11-03T02:00:13.00" personId="{6ce50e63-3414-4517-81c4-3ceefb3ef27c}" id="{9a30906e-78de-4139-a09c-7d0c4a200f63}" done="0">
    <x18tc:text xml:space="preserve">240 were deployed on oct. 27,28</x18tc:text>
  </x18tc:threadedComment>
  <x18tc:threadedComment ref="C9" dT="2025-10-20T05:08:26.00" personId="{6ce50e63-3414-4517-81c4-3ceefb3ef27c}" id="{ea9428be-90de-4a4e-9acf-c6208afdc9e5}" done="0">
    <x18tc:text xml:space="preserve">7 bricks were recycled due to cracks by earthquakes</x18tc:text>
  </x18tc:threadedComment>
  <x18tc:threadedComment ref="L2" dT="2025-10-07T05:17:10.00" personId="{6ce50e63-3414-4517-81c4-3ceefb3ef27c}" id="{15127e34-5486-4936-a866-ee7aade01014}" done="0">
    <x18tc:text xml:space="preserve">from the old bricks being fired: 
fit w/o cracks-- 42
fit w/ cracks- 7
Do Not Fit w/o cracks- 33
Do not Fit w/ cracks- 24
use as testing- 1
additional that do not fit w/out crack- 2</x18tc:text>
  </x18tc:threadedComment>
  <x18tc:threadedComment ref="B14" dT="2025-11-04T02:34:34.00" personId="{6ce50e63-3414-4517-81c4-3ceefb3ef27c}" id="{6b928076-7334-463b-a6ab-f9fd0c5d9ab0}" done="0">
    <x18tc:text xml:space="preserve">2 Bricks were rejected due to quality issue.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9-16T06:12:39.00" personId="{6ce50e63-3414-4517-81c4-3ceefb3ef27c}" id="{a29dfbfc-0708-43b6-8497-36b6d79d9f63}" done="0">
    <x18tc:text xml:space="preserve">Firing was moved in Wednesday</x18tc:text>
  </x18tc:threadedComment>
  <x18tc:threadedComment ref="A1" dT="2025-09-18T02:13:44.00" personId="{6ce50e63-3414-4517-81c4-3ceefb3ef27c}" id="{588b95c3-2d91-473a-9caf-381bb9cd9fb9}" parentId="{a29dfbfc-0708-43b6-8497-36b6d79d9f63}">
    <x18tc:text xml:space="preserve">the firing was moved on thursday due to the leakage</x18tc:text>
  </x18tc:threadedComment>
  <x18tc:threadedComment ref="A1" dT="2025-09-16T01:33:34.00" personId="{6ce50e63-3414-4517-81c4-3ceefb3ef27c}" id="{5f4ac75d-45bc-4b62-b3c5-f76d883a1396}" done="0">
    <x18tc:text xml:space="preserve">No Firing due to insufficient supply of LPG.</x18tc:text>
  </x18tc:threadedComment>
  <x18tc:threadedComment ref="A1" dT="2025-12-04T07:44:36.00" personId="{6ce50e63-3414-4517-81c4-3ceefb3ef27c}" id="{ccbd97b6-9d13-4e14-a86f-929d4aa08a08}" done="0">
    <x18tc:text xml:space="preserve">not yet screened</x18tc:text>
  </x18tc:threadedComment>
  <x18tc:threadedComment ref="A1" dT="2025-11-03T01:41:53.00" personId="{6ce50e63-3414-4517-81c4-3ceefb3ef27c}" id="{d378550a-e043-4134-aae3-1bad07da24e5}" done="0">
    <x18tc:text xml:space="preserve">no firing schedule</x18tc:text>
  </x18tc:threadedComment>
  <x18tc:threadedComment ref="A1" dT="2025-09-18T02:14:45.00" personId="{6ce50e63-3414-4517-81c4-3ceefb3ef27c}" id="{09dfbeff-580f-4543-a3d6-39080167c918}" done="0">
    <x18tc:text xml:space="preserve">nino was assigned instead of Ross</x18tc:text>
  </x18tc:threadedComment>
  <x18tc:threadedComment ref="A1" dT="2025-11-03T01:27:25.00" personId="{6ce50e63-3414-4517-81c4-3ceefb3ef27c}" id="{6aecb5e8-7d9a-456b-a42a-bee7149181f4}" done="0">
    <x18tc:text xml:space="preserve">no duty. mental health break</x18tc:text>
  </x18tc:threadedComment>
  <x18tc:threadedComment ref="A1" dT="2025-09-16T01:35:15.00" personId="{6ce50e63-3414-4517-81c4-3ceefb3ef27c}" id="{90dba8e9-ca3f-495b-ad22-4ff83a794bb3}" done="0">
    <x18tc:text xml:space="preserve">Nino was absent and Printing was done by Ross</x18tc:text>
  </x18tc:threadedComment>
  <x18tc:threadedComment ref="A1" dT="2025-09-16T01:35:56.00" personId="{6ce50e63-3414-4517-81c4-3ceefb3ef27c}" id="{b53ba61e-a58f-4dd7-b061-8c869cb62384}" done="0">
    <x18tc:text xml:space="preserve">Nino was assigned in printing.</x18tc:text>
  </x18tc:threadedComment>
  <x18tc:threadedComment ref="A1" dT="2025-11-28T13:10:40.00" personId="{6ce50e63-3414-4517-81c4-3ceefb3ef27c}" id="{03d078b7-53e5-4dc8-be8d-5b56dc48f534}" done="0">
    <x18tc:text xml:space="preserve">if negative means deficit otherwise it is excess.</x18tc:text>
  </x18tc:threadedComment>
  <x18tc:threadedComment ref="A1" dT="2025-11-03T06:42:50.00" personId="{6ce50e63-3414-4517-81c4-3ceefb3ef27c}" id="{3deede92-501b-4639-8c80-7034b833d39b}" done="0">
    <x18tc:text xml:space="preserve">EARTHQUAKE TIME. FIRING POSTPONE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66" dT="2026-04-21T08:35:08.00" personId="{6ce50e63-3414-4517-81c4-3ceefb3ef27c}" id="{dba9edf3-34b6-4c39-9a66-6f94248103c3}" done="0">
    <x18tc:text xml:space="preserve">at abby's place</x18tc:text>
  </x18tc:threadedComment>
  <x18tc:threadedComment ref="F38" dT="2026-03-02T02:45:58.00" personId="{6ce50e63-3414-4517-81c4-3ceefb3ef27c}" id="{bd81882b-f3ef-416f-813c-4133e255b0e3}" done="0">
    <x18tc:text xml:space="preserve">delivered to Cebu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" dT="2026-02-25T13:22:41.00" personId="{6ce50e63-3414-4517-81c4-3ceefb3ef27c}" id="{ee1a872c-3c67-4f1b-8bfc-abc27fdf3dac}" done="0">
    <x18tc:text xml:space="preserve">the newly printed bricks consumes approximately 8 kg of RTP.</x18tc:text>
  </x18tc:threadedComment>
  <x18tc:threadedComment ref="H1" dT="2026-02-05T02:15:43.00" personId="{6ce50e63-3414-4517-81c4-3ceefb3ef27c}" id="{a866a910-ecb7-48b7-bae7-f7b737839d68}" done="0">
    <x18tc:text xml:space="preserve">RTP Mix= Ready-to-Print Mix</x18tc:text>
  </x18tc:threadedComment>
  <x18tc:threadedComment ref="J29" dT="2026-03-17T06:20:53.00" personId="{6ce50e63-3414-4517-81c4-3ceefb3ef27c}" id="{75d63803-9832-4b9b-806a-893f6afebac9}" done="0">
    <x18tc:text xml:space="preserve">weight of newly printer brick is approximately 10 kg.</x18tc:text>
  </x18tc:threadedComment>
  <x18tc:threadedComment ref="J29" dT="2026-03-17T06:40:02.00" personId="{6ce50e63-3414-4517-81c4-3ceefb3ef27c}" id="{90430e79-5bec-45ae-9f14-57d38035663b}" parentId="{75d63803-9832-4b9b-806a-893f6afebac9}">
    <x18tc:text xml:space="preserve">weighing performed on march 17, 2026 2:00 pm.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Relationship Id="rId7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88"/>
    <col customWidth="1" min="2" max="2" width="15.13"/>
    <col customWidth="1" min="3" max="3" width="15.75"/>
    <col customWidth="1" min="4" max="4" width="13.5"/>
    <col customWidth="1" min="5" max="5" width="15.13"/>
    <col customWidth="1" min="6" max="7" width="13.5"/>
    <col customWidth="1" min="8" max="9" width="16.88"/>
    <col customWidth="1" min="10" max="10" width="20.13"/>
    <col customWidth="1" hidden="1" min="11" max="11" width="17.75"/>
    <col customWidth="1" min="12" max="12" width="15.63"/>
    <col customWidth="1" hidden="1" min="13" max="13" width="16.88"/>
    <col customWidth="1" min="14" max="14" width="20.88"/>
    <col hidden="1" min="15" max="16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4" t="s">
        <v>11</v>
      </c>
      <c r="M1" s="5" t="s">
        <v>12</v>
      </c>
      <c r="N1" s="6" t="s">
        <v>13</v>
      </c>
      <c r="O1" s="7" t="s">
        <v>14</v>
      </c>
    </row>
    <row r="2" ht="22.5" customHeight="1">
      <c r="A2" s="8">
        <v>45931.0</v>
      </c>
      <c r="B2" s="9">
        <v>10.0</v>
      </c>
      <c r="C2" s="9">
        <v>209.0</v>
      </c>
      <c r="D2" s="9">
        <v>0.0</v>
      </c>
      <c r="E2" s="9">
        <v>193.0</v>
      </c>
      <c r="F2" s="10"/>
      <c r="G2" s="10"/>
      <c r="H2" s="10"/>
      <c r="I2" s="10"/>
      <c r="J2" s="11">
        <f t="shared" ref="J2:J13" si="1">C2+B2-D2-G2</f>
        <v>219</v>
      </c>
      <c r="K2" s="12"/>
      <c r="L2" s="13">
        <f t="shared" ref="L2:L12" si="2">E2+D2</f>
        <v>193</v>
      </c>
      <c r="M2" s="14">
        <f t="shared" ref="M2:M86" si="3">L2+J2</f>
        <v>412</v>
      </c>
      <c r="N2" s="15"/>
      <c r="O2" s="16">
        <f t="shared" ref="O2:O12" si="4">B2-16</f>
        <v>-6</v>
      </c>
      <c r="P2" s="17">
        <f>sum(O2:O12)</f>
        <v>-51</v>
      </c>
    </row>
    <row r="3" ht="22.5" customHeight="1">
      <c r="A3" s="8">
        <v>45932.0</v>
      </c>
      <c r="B3" s="9">
        <v>19.0</v>
      </c>
      <c r="C3" s="18">
        <f t="shared" ref="C3:C12" si="5">J2</f>
        <v>219</v>
      </c>
      <c r="D3" s="19">
        <v>29.0</v>
      </c>
      <c r="E3" s="9">
        <f t="shared" ref="E3:E12" si="6">L2</f>
        <v>193</v>
      </c>
      <c r="F3" s="10"/>
      <c r="G3" s="10"/>
      <c r="H3" s="10"/>
      <c r="I3" s="10"/>
      <c r="J3" s="11">
        <f t="shared" si="1"/>
        <v>209</v>
      </c>
      <c r="K3" s="12"/>
      <c r="L3" s="20">
        <f t="shared" si="2"/>
        <v>222</v>
      </c>
      <c r="M3" s="14">
        <f t="shared" si="3"/>
        <v>431</v>
      </c>
      <c r="N3" s="15"/>
      <c r="O3" s="16">
        <f t="shared" si="4"/>
        <v>3</v>
      </c>
    </row>
    <row r="4" ht="22.5" customHeight="1">
      <c r="A4" s="8">
        <v>45933.0</v>
      </c>
      <c r="B4" s="9">
        <v>12.0</v>
      </c>
      <c r="C4" s="18">
        <f t="shared" si="5"/>
        <v>209</v>
      </c>
      <c r="D4" s="9">
        <v>0.0</v>
      </c>
      <c r="E4" s="9">
        <f t="shared" si="6"/>
        <v>222</v>
      </c>
      <c r="F4" s="10"/>
      <c r="G4" s="10"/>
      <c r="H4" s="10"/>
      <c r="I4" s="10"/>
      <c r="J4" s="11">
        <f t="shared" si="1"/>
        <v>221</v>
      </c>
      <c r="K4" s="12"/>
      <c r="L4" s="20">
        <f t="shared" si="2"/>
        <v>222</v>
      </c>
      <c r="M4" s="14">
        <f t="shared" si="3"/>
        <v>443</v>
      </c>
      <c r="N4" s="15"/>
      <c r="O4" s="16">
        <f t="shared" si="4"/>
        <v>-4</v>
      </c>
    </row>
    <row r="5" ht="22.5" customHeight="1">
      <c r="A5" s="8">
        <v>45936.0</v>
      </c>
      <c r="B5" s="9">
        <v>11.0</v>
      </c>
      <c r="C5" s="18">
        <f t="shared" si="5"/>
        <v>221</v>
      </c>
      <c r="D5" s="19">
        <v>29.0</v>
      </c>
      <c r="E5" s="9">
        <f t="shared" si="6"/>
        <v>222</v>
      </c>
      <c r="F5" s="10"/>
      <c r="G5" s="10"/>
      <c r="H5" s="10"/>
      <c r="I5" s="10"/>
      <c r="J5" s="11">
        <f t="shared" si="1"/>
        <v>203</v>
      </c>
      <c r="K5" s="12"/>
      <c r="L5" s="20">
        <f t="shared" si="2"/>
        <v>251</v>
      </c>
      <c r="M5" s="14">
        <f t="shared" si="3"/>
        <v>454</v>
      </c>
      <c r="N5" s="21" t="s">
        <v>15</v>
      </c>
      <c r="O5" s="16">
        <f t="shared" si="4"/>
        <v>-5</v>
      </c>
    </row>
    <row r="6" ht="22.5" customHeight="1">
      <c r="A6" s="8">
        <v>45937.0</v>
      </c>
      <c r="B6" s="9">
        <v>12.0</v>
      </c>
      <c r="C6" s="18">
        <f t="shared" si="5"/>
        <v>203</v>
      </c>
      <c r="D6" s="9">
        <v>0.0</v>
      </c>
      <c r="E6" s="9">
        <f t="shared" si="6"/>
        <v>251</v>
      </c>
      <c r="F6" s="10"/>
      <c r="G6" s="10"/>
      <c r="H6" s="10"/>
      <c r="I6" s="10"/>
      <c r="J6" s="11">
        <f t="shared" si="1"/>
        <v>215</v>
      </c>
      <c r="K6" s="12"/>
      <c r="L6" s="20">
        <f t="shared" si="2"/>
        <v>251</v>
      </c>
      <c r="M6" s="14">
        <f t="shared" si="3"/>
        <v>466</v>
      </c>
      <c r="N6" s="15"/>
      <c r="O6" s="16">
        <f t="shared" si="4"/>
        <v>-4</v>
      </c>
    </row>
    <row r="7" ht="22.5" customHeight="1">
      <c r="A7" s="8">
        <v>45938.0</v>
      </c>
      <c r="B7" s="9">
        <v>20.0</v>
      </c>
      <c r="C7" s="18">
        <f t="shared" si="5"/>
        <v>215</v>
      </c>
      <c r="D7" s="19">
        <v>29.0</v>
      </c>
      <c r="E7" s="9">
        <f t="shared" si="6"/>
        <v>251</v>
      </c>
      <c r="F7" s="10"/>
      <c r="G7" s="10"/>
      <c r="H7" s="10"/>
      <c r="I7" s="10"/>
      <c r="J7" s="11">
        <f t="shared" si="1"/>
        <v>206</v>
      </c>
      <c r="K7" s="12"/>
      <c r="L7" s="20">
        <f t="shared" si="2"/>
        <v>280</v>
      </c>
      <c r="M7" s="14">
        <f t="shared" si="3"/>
        <v>486</v>
      </c>
      <c r="N7" s="15"/>
      <c r="O7" s="16">
        <f t="shared" si="4"/>
        <v>4</v>
      </c>
    </row>
    <row r="8" ht="22.5" customHeight="1">
      <c r="A8" s="8">
        <v>45939.0</v>
      </c>
      <c r="B8" s="9">
        <v>0.0</v>
      </c>
      <c r="C8" s="18">
        <f t="shared" si="5"/>
        <v>206</v>
      </c>
      <c r="D8" s="9">
        <v>0.0</v>
      </c>
      <c r="E8" s="9">
        <f t="shared" si="6"/>
        <v>280</v>
      </c>
      <c r="F8" s="10"/>
      <c r="G8" s="10"/>
      <c r="H8" s="10"/>
      <c r="I8" s="10"/>
      <c r="J8" s="11">
        <f t="shared" si="1"/>
        <v>206</v>
      </c>
      <c r="K8" s="12"/>
      <c r="L8" s="20">
        <f t="shared" si="2"/>
        <v>280</v>
      </c>
      <c r="M8" s="14">
        <f t="shared" si="3"/>
        <v>486</v>
      </c>
      <c r="N8" s="15"/>
      <c r="O8" s="16">
        <f t="shared" si="4"/>
        <v>-16</v>
      </c>
    </row>
    <row r="9" ht="22.5" customHeight="1">
      <c r="A9" s="8">
        <v>45950.0</v>
      </c>
      <c r="B9" s="9">
        <v>14.0</v>
      </c>
      <c r="C9" s="9">
        <f t="shared" si="5"/>
        <v>206</v>
      </c>
      <c r="D9" s="9">
        <v>0.0</v>
      </c>
      <c r="E9" s="9">
        <f t="shared" si="6"/>
        <v>280</v>
      </c>
      <c r="F9" s="10"/>
      <c r="G9" s="10"/>
      <c r="H9" s="10"/>
      <c r="I9" s="10"/>
      <c r="J9" s="11">
        <f t="shared" si="1"/>
        <v>220</v>
      </c>
      <c r="K9" s="12"/>
      <c r="L9" s="20">
        <f t="shared" si="2"/>
        <v>280</v>
      </c>
      <c r="M9" s="14">
        <f t="shared" si="3"/>
        <v>500</v>
      </c>
      <c r="N9" s="15"/>
      <c r="O9" s="16">
        <f t="shared" si="4"/>
        <v>-2</v>
      </c>
    </row>
    <row r="10" ht="22.5" customHeight="1">
      <c r="A10" s="8">
        <v>45951.0</v>
      </c>
      <c r="B10" s="9">
        <v>16.0</v>
      </c>
      <c r="C10" s="9">
        <f t="shared" si="5"/>
        <v>220</v>
      </c>
      <c r="D10" s="19">
        <v>29.0</v>
      </c>
      <c r="E10" s="9">
        <f t="shared" si="6"/>
        <v>280</v>
      </c>
      <c r="F10" s="10"/>
      <c r="G10" s="10"/>
      <c r="H10" s="10"/>
      <c r="I10" s="10"/>
      <c r="J10" s="11">
        <f t="shared" si="1"/>
        <v>207</v>
      </c>
      <c r="K10" s="12"/>
      <c r="L10" s="20">
        <f t="shared" si="2"/>
        <v>309</v>
      </c>
      <c r="M10" s="14">
        <f t="shared" si="3"/>
        <v>516</v>
      </c>
      <c r="N10" s="15"/>
      <c r="O10" s="16">
        <f t="shared" si="4"/>
        <v>0</v>
      </c>
    </row>
    <row r="11" ht="22.5" customHeight="1">
      <c r="A11" s="8">
        <v>45952.0</v>
      </c>
      <c r="B11" s="9">
        <v>7.0</v>
      </c>
      <c r="C11" s="9">
        <f t="shared" si="5"/>
        <v>207</v>
      </c>
      <c r="D11" s="9">
        <v>0.0</v>
      </c>
      <c r="E11" s="9">
        <f t="shared" si="6"/>
        <v>309</v>
      </c>
      <c r="F11" s="10"/>
      <c r="G11" s="10"/>
      <c r="H11" s="10"/>
      <c r="I11" s="10"/>
      <c r="J11" s="11">
        <f t="shared" si="1"/>
        <v>214</v>
      </c>
      <c r="K11" s="12"/>
      <c r="L11" s="20">
        <f t="shared" si="2"/>
        <v>309</v>
      </c>
      <c r="M11" s="14">
        <f t="shared" si="3"/>
        <v>523</v>
      </c>
      <c r="N11" s="15"/>
      <c r="O11" s="16">
        <f t="shared" si="4"/>
        <v>-9</v>
      </c>
    </row>
    <row r="12" ht="22.5" customHeight="1">
      <c r="A12" s="8">
        <v>45953.0</v>
      </c>
      <c r="B12" s="9">
        <v>4.0</v>
      </c>
      <c r="C12" s="9">
        <f t="shared" si="5"/>
        <v>214</v>
      </c>
      <c r="D12" s="19">
        <v>29.0</v>
      </c>
      <c r="E12" s="9">
        <f t="shared" si="6"/>
        <v>309</v>
      </c>
      <c r="F12" s="10"/>
      <c r="G12" s="10"/>
      <c r="H12" s="10"/>
      <c r="I12" s="10"/>
      <c r="J12" s="11">
        <f t="shared" si="1"/>
        <v>189</v>
      </c>
      <c r="K12" s="12"/>
      <c r="L12" s="20">
        <f t="shared" si="2"/>
        <v>338</v>
      </c>
      <c r="M12" s="14">
        <f t="shared" si="3"/>
        <v>527</v>
      </c>
      <c r="N12" s="21" t="s">
        <v>16</v>
      </c>
      <c r="O12" s="16">
        <f t="shared" si="4"/>
        <v>-12</v>
      </c>
    </row>
    <row r="13" ht="22.5" customHeight="1">
      <c r="A13" s="22">
        <v>45964.0</v>
      </c>
      <c r="B13" s="23"/>
      <c r="C13" s="23">
        <v>181.0</v>
      </c>
      <c r="D13" s="23">
        <v>0.0</v>
      </c>
      <c r="E13" s="23">
        <v>99.0</v>
      </c>
      <c r="F13" s="23"/>
      <c r="G13" s="23"/>
      <c r="H13" s="23"/>
      <c r="I13" s="23"/>
      <c r="J13" s="24">
        <f t="shared" si="1"/>
        <v>181</v>
      </c>
      <c r="K13" s="12"/>
      <c r="L13" s="23">
        <v>99.0</v>
      </c>
      <c r="M13" s="24">
        <f t="shared" si="3"/>
        <v>280</v>
      </c>
      <c r="N13" s="25" t="s">
        <v>17</v>
      </c>
      <c r="O13" s="26"/>
    </row>
    <row r="14" ht="22.5" customHeight="1">
      <c r="A14" s="27">
        <v>45964.0</v>
      </c>
      <c r="B14" s="10">
        <v>14.0</v>
      </c>
      <c r="C14" s="28">
        <f t="shared" ref="C14:C46" si="7">J13</f>
        <v>181</v>
      </c>
      <c r="D14" s="10">
        <v>0.0</v>
      </c>
      <c r="E14" s="10">
        <v>61.0</v>
      </c>
      <c r="F14" s="10">
        <v>2.0</v>
      </c>
      <c r="G14" s="10">
        <v>0.0</v>
      </c>
      <c r="H14" s="10"/>
      <c r="I14" s="10"/>
      <c r="J14" s="11">
        <f t="shared" ref="J14:J61" si="8">C14+B14-D14-G14-F14</f>
        <v>193</v>
      </c>
      <c r="K14" s="12"/>
      <c r="L14" s="20">
        <f t="shared" ref="L14:L28" si="9">E14+D14</f>
        <v>61</v>
      </c>
      <c r="M14" s="12">
        <f t="shared" si="3"/>
        <v>254</v>
      </c>
      <c r="N14" s="29" t="s">
        <v>18</v>
      </c>
      <c r="O14" s="30">
        <f t="shared" ref="O14:O77" si="10">B14-16</f>
        <v>-2</v>
      </c>
      <c r="P14" s="31">
        <f>sum(O14:O18)</f>
        <v>-36</v>
      </c>
    </row>
    <row r="15" ht="22.5" customHeight="1">
      <c r="A15" s="8">
        <v>45965.0</v>
      </c>
      <c r="B15" s="9">
        <v>8.0</v>
      </c>
      <c r="C15" s="18">
        <f t="shared" si="7"/>
        <v>193</v>
      </c>
      <c r="D15" s="19">
        <v>29.0</v>
      </c>
      <c r="E15" s="9">
        <f t="shared" ref="E15:E19" si="11">L14</f>
        <v>61</v>
      </c>
      <c r="F15" s="9">
        <v>0.0</v>
      </c>
      <c r="G15" s="9">
        <v>0.0</v>
      </c>
      <c r="H15" s="9"/>
      <c r="I15" s="9"/>
      <c r="J15" s="11">
        <f t="shared" si="8"/>
        <v>172</v>
      </c>
      <c r="K15" s="12"/>
      <c r="L15" s="20">
        <f t="shared" si="9"/>
        <v>90</v>
      </c>
      <c r="M15" s="14">
        <f t="shared" si="3"/>
        <v>262</v>
      </c>
      <c r="N15" s="15"/>
      <c r="O15" s="30">
        <f t="shared" si="10"/>
        <v>-8</v>
      </c>
    </row>
    <row r="16" ht="22.5" customHeight="1">
      <c r="A16" s="8">
        <v>45966.0</v>
      </c>
      <c r="B16" s="9">
        <v>8.0</v>
      </c>
      <c r="C16" s="18">
        <f t="shared" si="7"/>
        <v>172</v>
      </c>
      <c r="D16" s="9">
        <v>0.0</v>
      </c>
      <c r="E16" s="9">
        <f t="shared" si="11"/>
        <v>90</v>
      </c>
      <c r="F16" s="9">
        <v>0.0</v>
      </c>
      <c r="G16" s="9">
        <v>0.0</v>
      </c>
      <c r="H16" s="9"/>
      <c r="I16" s="9"/>
      <c r="J16" s="11">
        <f t="shared" si="8"/>
        <v>180</v>
      </c>
      <c r="K16" s="12"/>
      <c r="L16" s="20">
        <f t="shared" si="9"/>
        <v>90</v>
      </c>
      <c r="M16" s="14">
        <f t="shared" si="3"/>
        <v>270</v>
      </c>
      <c r="N16" s="15"/>
      <c r="O16" s="30">
        <f t="shared" si="10"/>
        <v>-8</v>
      </c>
    </row>
    <row r="17" ht="22.5" customHeight="1">
      <c r="A17" s="8">
        <v>45967.0</v>
      </c>
      <c r="B17" s="9">
        <v>10.0</v>
      </c>
      <c r="C17" s="18">
        <f t="shared" si="7"/>
        <v>180</v>
      </c>
      <c r="D17" s="19">
        <v>29.0</v>
      </c>
      <c r="E17" s="9">
        <f t="shared" si="11"/>
        <v>90</v>
      </c>
      <c r="F17" s="9">
        <v>0.0</v>
      </c>
      <c r="G17" s="9">
        <v>1.0</v>
      </c>
      <c r="H17" s="9"/>
      <c r="I17" s="9"/>
      <c r="J17" s="11">
        <f t="shared" si="8"/>
        <v>160</v>
      </c>
      <c r="K17" s="12"/>
      <c r="L17" s="20">
        <f t="shared" si="9"/>
        <v>119</v>
      </c>
      <c r="M17" s="14">
        <f t="shared" si="3"/>
        <v>279</v>
      </c>
      <c r="N17" s="21" t="s">
        <v>19</v>
      </c>
      <c r="O17" s="30">
        <f t="shared" si="10"/>
        <v>-6</v>
      </c>
    </row>
    <row r="18" ht="22.5" customHeight="1">
      <c r="A18" s="8">
        <v>45968.0</v>
      </c>
      <c r="B18" s="9">
        <v>4.0</v>
      </c>
      <c r="C18" s="9">
        <f t="shared" si="7"/>
        <v>160</v>
      </c>
      <c r="D18" s="9">
        <v>0.0</v>
      </c>
      <c r="E18" s="9">
        <f t="shared" si="11"/>
        <v>119</v>
      </c>
      <c r="F18" s="9">
        <v>0.0</v>
      </c>
      <c r="G18" s="9">
        <v>25.0</v>
      </c>
      <c r="H18" s="9"/>
      <c r="I18" s="9"/>
      <c r="J18" s="11">
        <f t="shared" si="8"/>
        <v>139</v>
      </c>
      <c r="K18" s="12"/>
      <c r="L18" s="20">
        <f t="shared" si="9"/>
        <v>119</v>
      </c>
      <c r="M18" s="14">
        <f t="shared" si="3"/>
        <v>258</v>
      </c>
      <c r="N18" s="21" t="s">
        <v>20</v>
      </c>
      <c r="O18" s="30">
        <f t="shared" si="10"/>
        <v>-12</v>
      </c>
    </row>
    <row r="19" ht="22.5" customHeight="1">
      <c r="A19" s="8">
        <v>45971.0</v>
      </c>
      <c r="B19" s="9">
        <v>15.0</v>
      </c>
      <c r="C19" s="9">
        <f t="shared" si="7"/>
        <v>139</v>
      </c>
      <c r="D19" s="9">
        <v>0.0</v>
      </c>
      <c r="E19" s="9">
        <f t="shared" si="11"/>
        <v>119</v>
      </c>
      <c r="F19" s="9">
        <v>0.0</v>
      </c>
      <c r="G19" s="9">
        <v>0.0</v>
      </c>
      <c r="H19" s="9"/>
      <c r="I19" s="9"/>
      <c r="J19" s="11">
        <f t="shared" si="8"/>
        <v>154</v>
      </c>
      <c r="K19" s="12"/>
      <c r="L19" s="20">
        <f t="shared" si="9"/>
        <v>119</v>
      </c>
      <c r="M19" s="14">
        <f t="shared" si="3"/>
        <v>273</v>
      </c>
      <c r="N19" s="21"/>
      <c r="O19" s="30">
        <f t="shared" si="10"/>
        <v>-1</v>
      </c>
      <c r="P19" s="31">
        <f>sum(O19:O23)</f>
        <v>-13</v>
      </c>
      <c r="Q19" s="32" t="s">
        <v>21</v>
      </c>
    </row>
    <row r="20" ht="22.5" customHeight="1">
      <c r="A20" s="8">
        <v>45972.0</v>
      </c>
      <c r="B20" s="9">
        <v>10.0</v>
      </c>
      <c r="C20" s="9">
        <f t="shared" si="7"/>
        <v>154</v>
      </c>
      <c r="D20" s="9">
        <v>0.0</v>
      </c>
      <c r="E20" s="9">
        <f>L18</f>
        <v>119</v>
      </c>
      <c r="F20" s="9">
        <v>0.0</v>
      </c>
      <c r="G20" s="9">
        <v>0.0</v>
      </c>
      <c r="H20" s="9"/>
      <c r="I20" s="9"/>
      <c r="J20" s="11">
        <f t="shared" si="8"/>
        <v>164</v>
      </c>
      <c r="K20" s="12"/>
      <c r="L20" s="20">
        <f t="shared" si="9"/>
        <v>119</v>
      </c>
      <c r="M20" s="14">
        <f t="shared" si="3"/>
        <v>283</v>
      </c>
      <c r="N20" s="15"/>
      <c r="O20" s="30">
        <f t="shared" si="10"/>
        <v>-6</v>
      </c>
      <c r="Q20" s="32"/>
    </row>
    <row r="21" ht="22.5" customHeight="1">
      <c r="A21" s="8">
        <v>45973.0</v>
      </c>
      <c r="B21" s="9">
        <v>10.0</v>
      </c>
      <c r="C21" s="9">
        <f t="shared" si="7"/>
        <v>164</v>
      </c>
      <c r="D21" s="9">
        <v>0.0</v>
      </c>
      <c r="E21" s="9">
        <f t="shared" ref="E21:E46" si="12">L20</f>
        <v>119</v>
      </c>
      <c r="F21" s="9">
        <v>0.0</v>
      </c>
      <c r="G21" s="9">
        <v>0.0</v>
      </c>
      <c r="H21" s="9"/>
      <c r="I21" s="9"/>
      <c r="J21" s="11">
        <f t="shared" si="8"/>
        <v>174</v>
      </c>
      <c r="K21" s="12"/>
      <c r="L21" s="20">
        <f t="shared" si="9"/>
        <v>119</v>
      </c>
      <c r="M21" s="14">
        <f t="shared" si="3"/>
        <v>293</v>
      </c>
      <c r="N21" s="15"/>
      <c r="O21" s="30">
        <f t="shared" si="10"/>
        <v>-6</v>
      </c>
      <c r="Q21" s="32"/>
    </row>
    <row r="22" ht="22.5" customHeight="1">
      <c r="A22" s="8">
        <v>45974.0</v>
      </c>
      <c r="B22" s="9">
        <v>16.0</v>
      </c>
      <c r="C22" s="9">
        <f t="shared" si="7"/>
        <v>174</v>
      </c>
      <c r="D22" s="9">
        <v>0.0</v>
      </c>
      <c r="E22" s="9">
        <f t="shared" si="12"/>
        <v>119</v>
      </c>
      <c r="F22" s="9">
        <v>0.0</v>
      </c>
      <c r="G22" s="9">
        <v>0.0</v>
      </c>
      <c r="H22" s="9"/>
      <c r="I22" s="9"/>
      <c r="J22" s="11">
        <f t="shared" si="8"/>
        <v>190</v>
      </c>
      <c r="K22" s="12"/>
      <c r="L22" s="20">
        <f t="shared" si="9"/>
        <v>119</v>
      </c>
      <c r="M22" s="14">
        <f t="shared" si="3"/>
        <v>309</v>
      </c>
      <c r="N22" s="15"/>
      <c r="O22" s="30">
        <f t="shared" si="10"/>
        <v>0</v>
      </c>
      <c r="Q22" s="32"/>
    </row>
    <row r="23" ht="22.5" customHeight="1">
      <c r="A23" s="8">
        <v>45975.0</v>
      </c>
      <c r="B23" s="9">
        <v>16.0</v>
      </c>
      <c r="C23" s="9">
        <f t="shared" si="7"/>
        <v>190</v>
      </c>
      <c r="D23" s="9">
        <v>0.0</v>
      </c>
      <c r="E23" s="9">
        <f t="shared" si="12"/>
        <v>119</v>
      </c>
      <c r="F23" s="9">
        <v>0.0</v>
      </c>
      <c r="G23" s="9">
        <v>0.0</v>
      </c>
      <c r="H23" s="9"/>
      <c r="I23" s="9"/>
      <c r="J23" s="11">
        <f t="shared" si="8"/>
        <v>206</v>
      </c>
      <c r="K23" s="33">
        <v>190.0</v>
      </c>
      <c r="L23" s="20">
        <f t="shared" si="9"/>
        <v>119</v>
      </c>
      <c r="M23" s="14">
        <f t="shared" si="3"/>
        <v>325</v>
      </c>
      <c r="N23" s="6"/>
      <c r="O23" s="30">
        <f t="shared" si="10"/>
        <v>0</v>
      </c>
      <c r="Q23" s="32"/>
    </row>
    <row r="24" ht="22.5" customHeight="1">
      <c r="A24" s="8">
        <v>45978.0</v>
      </c>
      <c r="B24" s="9">
        <v>14.0</v>
      </c>
      <c r="C24" s="9">
        <f t="shared" si="7"/>
        <v>206</v>
      </c>
      <c r="D24" s="9">
        <v>0.0</v>
      </c>
      <c r="E24" s="9">
        <f t="shared" si="12"/>
        <v>119</v>
      </c>
      <c r="F24" s="9">
        <v>0.0</v>
      </c>
      <c r="G24" s="9">
        <v>0.0</v>
      </c>
      <c r="H24" s="9"/>
      <c r="I24" s="9"/>
      <c r="J24" s="11">
        <f t="shared" si="8"/>
        <v>220</v>
      </c>
      <c r="K24" s="12"/>
      <c r="L24" s="20">
        <f t="shared" si="9"/>
        <v>119</v>
      </c>
      <c r="M24" s="14">
        <f t="shared" si="3"/>
        <v>339</v>
      </c>
      <c r="N24" s="15"/>
      <c r="O24" s="30">
        <f t="shared" si="10"/>
        <v>-2</v>
      </c>
      <c r="P24" s="31">
        <f>SUM(O24:O28)</f>
        <v>-34</v>
      </c>
      <c r="Q24" s="32"/>
    </row>
    <row r="25" ht="22.5" customHeight="1">
      <c r="A25" s="8">
        <v>45979.0</v>
      </c>
      <c r="B25" s="9">
        <v>2.0</v>
      </c>
      <c r="C25" s="9">
        <f t="shared" si="7"/>
        <v>220</v>
      </c>
      <c r="D25" s="9">
        <v>0.0</v>
      </c>
      <c r="E25" s="9">
        <f t="shared" si="12"/>
        <v>119</v>
      </c>
      <c r="F25" s="9">
        <v>0.0</v>
      </c>
      <c r="G25" s="9">
        <v>1.0</v>
      </c>
      <c r="H25" s="9"/>
      <c r="I25" s="9"/>
      <c r="J25" s="11">
        <f t="shared" si="8"/>
        <v>221</v>
      </c>
      <c r="K25" s="12"/>
      <c r="L25" s="20">
        <f t="shared" si="9"/>
        <v>119</v>
      </c>
      <c r="M25" s="14">
        <f t="shared" si="3"/>
        <v>340</v>
      </c>
      <c r="N25" s="15"/>
      <c r="O25" s="30">
        <f t="shared" si="10"/>
        <v>-14</v>
      </c>
      <c r="Q25" s="32"/>
    </row>
    <row r="26" ht="22.5" customHeight="1">
      <c r="A26" s="8">
        <v>45980.0</v>
      </c>
      <c r="B26" s="9">
        <v>11.0</v>
      </c>
      <c r="C26" s="9">
        <f t="shared" si="7"/>
        <v>221</v>
      </c>
      <c r="D26" s="9">
        <v>0.0</v>
      </c>
      <c r="E26" s="9">
        <f t="shared" si="12"/>
        <v>119</v>
      </c>
      <c r="F26" s="9">
        <v>0.0</v>
      </c>
      <c r="G26" s="9">
        <v>0.0</v>
      </c>
      <c r="H26" s="9"/>
      <c r="I26" s="9"/>
      <c r="J26" s="11">
        <f t="shared" si="8"/>
        <v>232</v>
      </c>
      <c r="K26" s="12"/>
      <c r="L26" s="20">
        <f t="shared" si="9"/>
        <v>119</v>
      </c>
      <c r="M26" s="14">
        <f t="shared" si="3"/>
        <v>351</v>
      </c>
      <c r="N26" s="15"/>
      <c r="O26" s="30">
        <f t="shared" si="10"/>
        <v>-5</v>
      </c>
      <c r="Q26" s="32"/>
    </row>
    <row r="27" ht="22.5" customHeight="1">
      <c r="A27" s="8">
        <v>45981.0</v>
      </c>
      <c r="B27" s="9">
        <v>8.0</v>
      </c>
      <c r="C27" s="9">
        <f t="shared" si="7"/>
        <v>232</v>
      </c>
      <c r="D27" s="9">
        <v>0.0</v>
      </c>
      <c r="E27" s="9">
        <f t="shared" si="12"/>
        <v>119</v>
      </c>
      <c r="F27" s="9">
        <v>0.0</v>
      </c>
      <c r="G27" s="9">
        <v>0.0</v>
      </c>
      <c r="H27" s="9"/>
      <c r="I27" s="9"/>
      <c r="J27" s="11">
        <f t="shared" si="8"/>
        <v>240</v>
      </c>
      <c r="K27" s="12"/>
      <c r="L27" s="20">
        <f t="shared" si="9"/>
        <v>119</v>
      </c>
      <c r="M27" s="14">
        <f t="shared" si="3"/>
        <v>359</v>
      </c>
      <c r="N27" s="15"/>
      <c r="O27" s="30">
        <f t="shared" si="10"/>
        <v>-8</v>
      </c>
      <c r="Q27" s="32"/>
    </row>
    <row r="28" ht="22.5" customHeight="1">
      <c r="A28" s="8">
        <v>45982.0</v>
      </c>
      <c r="B28" s="9">
        <v>11.0</v>
      </c>
      <c r="C28" s="9">
        <f t="shared" si="7"/>
        <v>240</v>
      </c>
      <c r="D28" s="34">
        <v>29.0</v>
      </c>
      <c r="E28" s="9">
        <f t="shared" si="12"/>
        <v>119</v>
      </c>
      <c r="F28" s="9">
        <v>0.0</v>
      </c>
      <c r="G28" s="9">
        <v>0.0</v>
      </c>
      <c r="H28" s="9"/>
      <c r="I28" s="9"/>
      <c r="J28" s="11">
        <f t="shared" si="8"/>
        <v>222</v>
      </c>
      <c r="K28" s="12"/>
      <c r="L28" s="20">
        <f t="shared" si="9"/>
        <v>148</v>
      </c>
      <c r="M28" s="14">
        <f t="shared" si="3"/>
        <v>370</v>
      </c>
      <c r="N28" s="15"/>
      <c r="O28" s="30">
        <f t="shared" si="10"/>
        <v>-5</v>
      </c>
      <c r="Q28" s="32"/>
    </row>
    <row r="29" ht="22.5" customHeight="1">
      <c r="A29" s="8">
        <v>45985.0</v>
      </c>
      <c r="B29" s="9">
        <v>16.0</v>
      </c>
      <c r="C29" s="9">
        <f t="shared" si="7"/>
        <v>222</v>
      </c>
      <c r="D29" s="9">
        <v>0.0</v>
      </c>
      <c r="E29" s="9">
        <f t="shared" si="12"/>
        <v>148</v>
      </c>
      <c r="F29" s="9">
        <v>0.0</v>
      </c>
      <c r="G29" s="9">
        <v>2.0</v>
      </c>
      <c r="H29" s="9">
        <v>65.0</v>
      </c>
      <c r="I29" s="9">
        <v>61.0</v>
      </c>
      <c r="J29" s="11">
        <f t="shared" si="8"/>
        <v>236</v>
      </c>
      <c r="K29" s="12"/>
      <c r="L29" s="20">
        <f>148-I29</f>
        <v>87</v>
      </c>
      <c r="M29" s="14">
        <f t="shared" si="3"/>
        <v>323</v>
      </c>
      <c r="N29" s="21" t="s">
        <v>22</v>
      </c>
      <c r="O29" s="30">
        <f t="shared" si="10"/>
        <v>0</v>
      </c>
      <c r="P29" s="31">
        <f>SUM(O29:O33)</f>
        <v>-22</v>
      </c>
      <c r="Q29" s="32"/>
    </row>
    <row r="30" ht="22.5" customHeight="1">
      <c r="A30" s="8">
        <v>45986.0</v>
      </c>
      <c r="B30" s="9">
        <v>4.0</v>
      </c>
      <c r="C30" s="9">
        <f t="shared" si="7"/>
        <v>236</v>
      </c>
      <c r="D30" s="34">
        <v>29.0</v>
      </c>
      <c r="E30" s="9">
        <f t="shared" si="12"/>
        <v>87</v>
      </c>
      <c r="F30" s="9">
        <v>0.0</v>
      </c>
      <c r="G30" s="9">
        <v>1.0</v>
      </c>
      <c r="H30" s="9">
        <f t="shared" ref="H30:H42" si="13">H29-I29</f>
        <v>4</v>
      </c>
      <c r="I30" s="9">
        <v>0.0</v>
      </c>
      <c r="J30" s="11">
        <f t="shared" si="8"/>
        <v>210</v>
      </c>
      <c r="K30" s="12"/>
      <c r="L30" s="20">
        <f t="shared" ref="L30:L61" si="14">E30+D30</f>
        <v>116</v>
      </c>
      <c r="M30" s="14">
        <f t="shared" si="3"/>
        <v>326</v>
      </c>
      <c r="N30" s="21" t="s">
        <v>23</v>
      </c>
      <c r="O30" s="30">
        <f t="shared" si="10"/>
        <v>-12</v>
      </c>
      <c r="Q30" s="32"/>
    </row>
    <row r="31" ht="22.5" customHeight="1">
      <c r="A31" s="8">
        <v>45987.0</v>
      </c>
      <c r="B31" s="9">
        <v>12.0</v>
      </c>
      <c r="C31" s="9">
        <f t="shared" si="7"/>
        <v>210</v>
      </c>
      <c r="D31" s="9">
        <v>0.0</v>
      </c>
      <c r="E31" s="9">
        <f t="shared" si="12"/>
        <v>116</v>
      </c>
      <c r="F31" s="9">
        <v>0.0</v>
      </c>
      <c r="G31" s="9">
        <v>5.0</v>
      </c>
      <c r="H31" s="9">
        <f t="shared" si="13"/>
        <v>4</v>
      </c>
      <c r="I31" s="9">
        <v>0.0</v>
      </c>
      <c r="J31" s="11">
        <f t="shared" si="8"/>
        <v>217</v>
      </c>
      <c r="K31" s="12"/>
      <c r="L31" s="20">
        <f t="shared" si="14"/>
        <v>116</v>
      </c>
      <c r="M31" s="14">
        <f t="shared" si="3"/>
        <v>333</v>
      </c>
      <c r="N31" s="15"/>
      <c r="O31" s="30">
        <f t="shared" si="10"/>
        <v>-4</v>
      </c>
      <c r="Q31" s="32"/>
    </row>
    <row r="32" ht="22.5" customHeight="1">
      <c r="A32" s="8">
        <v>45988.0</v>
      </c>
      <c r="B32" s="9">
        <v>12.0</v>
      </c>
      <c r="C32" s="9">
        <f t="shared" si="7"/>
        <v>217</v>
      </c>
      <c r="D32" s="34">
        <v>29.0</v>
      </c>
      <c r="E32" s="9">
        <f t="shared" si="12"/>
        <v>116</v>
      </c>
      <c r="F32" s="9">
        <v>0.0</v>
      </c>
      <c r="G32" s="9">
        <v>0.0</v>
      </c>
      <c r="H32" s="9">
        <f t="shared" si="13"/>
        <v>4</v>
      </c>
      <c r="I32" s="9">
        <v>0.0</v>
      </c>
      <c r="J32" s="11">
        <f t="shared" si="8"/>
        <v>200</v>
      </c>
      <c r="K32" s="12"/>
      <c r="L32" s="20">
        <f t="shared" si="14"/>
        <v>145</v>
      </c>
      <c r="M32" s="14">
        <f t="shared" si="3"/>
        <v>345</v>
      </c>
      <c r="N32" s="21" t="s">
        <v>24</v>
      </c>
      <c r="O32" s="30">
        <f t="shared" si="10"/>
        <v>-4</v>
      </c>
      <c r="Q32" s="32"/>
    </row>
    <row r="33" ht="22.5" customHeight="1">
      <c r="A33" s="8">
        <v>45989.0</v>
      </c>
      <c r="B33" s="9">
        <v>14.0</v>
      </c>
      <c r="C33" s="9">
        <f t="shared" si="7"/>
        <v>200</v>
      </c>
      <c r="D33" s="9">
        <v>0.0</v>
      </c>
      <c r="E33" s="9">
        <f t="shared" si="12"/>
        <v>145</v>
      </c>
      <c r="F33" s="9">
        <v>0.0</v>
      </c>
      <c r="G33" s="9">
        <v>0.0</v>
      </c>
      <c r="H33" s="9">
        <f t="shared" si="13"/>
        <v>4</v>
      </c>
      <c r="I33" s="9">
        <v>0.0</v>
      </c>
      <c r="J33" s="11">
        <f t="shared" si="8"/>
        <v>214</v>
      </c>
      <c r="K33" s="12"/>
      <c r="L33" s="20">
        <f t="shared" si="14"/>
        <v>145</v>
      </c>
      <c r="M33" s="14">
        <f t="shared" si="3"/>
        <v>359</v>
      </c>
      <c r="N33" s="15"/>
      <c r="O33" s="30">
        <f t="shared" si="10"/>
        <v>-2</v>
      </c>
      <c r="Q33" s="32"/>
    </row>
    <row r="34" ht="22.5" customHeight="1">
      <c r="A34" s="8">
        <v>45992.0</v>
      </c>
      <c r="B34" s="9">
        <v>10.0</v>
      </c>
      <c r="C34" s="9">
        <f t="shared" si="7"/>
        <v>214</v>
      </c>
      <c r="D34" s="9">
        <v>0.0</v>
      </c>
      <c r="E34" s="9">
        <f t="shared" si="12"/>
        <v>145</v>
      </c>
      <c r="F34" s="9">
        <v>0.0</v>
      </c>
      <c r="G34" s="9">
        <v>0.0</v>
      </c>
      <c r="H34" s="9">
        <f t="shared" si="13"/>
        <v>4</v>
      </c>
      <c r="I34" s="9">
        <v>0.0</v>
      </c>
      <c r="J34" s="11">
        <f t="shared" si="8"/>
        <v>224</v>
      </c>
      <c r="K34" s="12"/>
      <c r="L34" s="20">
        <f t="shared" si="14"/>
        <v>145</v>
      </c>
      <c r="M34" s="14">
        <f t="shared" si="3"/>
        <v>369</v>
      </c>
      <c r="N34" s="15"/>
      <c r="O34" s="30">
        <f t="shared" si="10"/>
        <v>-6</v>
      </c>
      <c r="P34" s="35"/>
      <c r="Q34" s="32"/>
    </row>
    <row r="35" ht="22.5" customHeight="1">
      <c r="A35" s="8">
        <v>45993.0</v>
      </c>
      <c r="B35" s="9">
        <v>16.0</v>
      </c>
      <c r="C35" s="9">
        <f t="shared" si="7"/>
        <v>224</v>
      </c>
      <c r="D35" s="34">
        <v>29.0</v>
      </c>
      <c r="E35" s="9">
        <f t="shared" si="12"/>
        <v>145</v>
      </c>
      <c r="F35" s="9">
        <v>0.0</v>
      </c>
      <c r="G35" s="9">
        <v>0.0</v>
      </c>
      <c r="H35" s="9">
        <f t="shared" si="13"/>
        <v>4</v>
      </c>
      <c r="I35" s="9">
        <v>0.0</v>
      </c>
      <c r="J35" s="11">
        <f t="shared" si="8"/>
        <v>211</v>
      </c>
      <c r="K35" s="12"/>
      <c r="L35" s="20">
        <f t="shared" si="14"/>
        <v>174</v>
      </c>
      <c r="M35" s="14">
        <f t="shared" si="3"/>
        <v>385</v>
      </c>
      <c r="N35" s="21" t="s">
        <v>25</v>
      </c>
      <c r="O35" s="30">
        <f t="shared" si="10"/>
        <v>0</v>
      </c>
      <c r="P35" s="35"/>
      <c r="Q35" s="32"/>
    </row>
    <row r="36" ht="22.5" customHeight="1">
      <c r="A36" s="8">
        <v>45994.0</v>
      </c>
      <c r="B36" s="9">
        <v>12.0</v>
      </c>
      <c r="C36" s="9">
        <f t="shared" si="7"/>
        <v>211</v>
      </c>
      <c r="D36" s="10">
        <v>0.0</v>
      </c>
      <c r="E36" s="9">
        <f t="shared" si="12"/>
        <v>174</v>
      </c>
      <c r="F36" s="9">
        <v>0.0</v>
      </c>
      <c r="G36" s="9">
        <v>2.0</v>
      </c>
      <c r="H36" s="9">
        <f t="shared" si="13"/>
        <v>4</v>
      </c>
      <c r="I36" s="9">
        <v>0.0</v>
      </c>
      <c r="J36" s="11">
        <f t="shared" si="8"/>
        <v>221</v>
      </c>
      <c r="K36" s="12"/>
      <c r="L36" s="20">
        <f t="shared" si="14"/>
        <v>174</v>
      </c>
      <c r="M36" s="14">
        <f t="shared" si="3"/>
        <v>395</v>
      </c>
      <c r="N36" s="15"/>
      <c r="O36" s="30">
        <f t="shared" si="10"/>
        <v>-4</v>
      </c>
      <c r="P36" s="35"/>
      <c r="Q36" s="32"/>
    </row>
    <row r="37" ht="22.5" customHeight="1">
      <c r="A37" s="8">
        <v>45995.0</v>
      </c>
      <c r="B37" s="9">
        <v>16.0</v>
      </c>
      <c r="C37" s="9">
        <f t="shared" si="7"/>
        <v>221</v>
      </c>
      <c r="D37" s="36">
        <v>29.0</v>
      </c>
      <c r="E37" s="9">
        <f t="shared" si="12"/>
        <v>174</v>
      </c>
      <c r="F37" s="9">
        <v>0.0</v>
      </c>
      <c r="G37" s="9">
        <v>0.0</v>
      </c>
      <c r="H37" s="9">
        <f t="shared" si="13"/>
        <v>4</v>
      </c>
      <c r="I37" s="9">
        <v>0.0</v>
      </c>
      <c r="J37" s="11">
        <f t="shared" si="8"/>
        <v>208</v>
      </c>
      <c r="K37" s="12"/>
      <c r="L37" s="20">
        <f t="shared" si="14"/>
        <v>203</v>
      </c>
      <c r="M37" s="14">
        <f t="shared" si="3"/>
        <v>411</v>
      </c>
      <c r="N37" s="15"/>
      <c r="O37" s="30">
        <f t="shared" si="10"/>
        <v>0</v>
      </c>
      <c r="P37" s="35"/>
      <c r="Q37" s="32"/>
    </row>
    <row r="38" ht="22.5" customHeight="1">
      <c r="A38" s="8">
        <v>45996.0</v>
      </c>
      <c r="B38" s="9">
        <v>8.0</v>
      </c>
      <c r="C38" s="9">
        <f t="shared" si="7"/>
        <v>208</v>
      </c>
      <c r="D38" s="10">
        <v>0.0</v>
      </c>
      <c r="E38" s="9">
        <f t="shared" si="12"/>
        <v>203</v>
      </c>
      <c r="F38" s="9">
        <v>0.0</v>
      </c>
      <c r="G38" s="9">
        <v>0.0</v>
      </c>
      <c r="H38" s="9">
        <f t="shared" si="13"/>
        <v>4</v>
      </c>
      <c r="I38" s="9">
        <v>0.0</v>
      </c>
      <c r="J38" s="11">
        <f t="shared" si="8"/>
        <v>216</v>
      </c>
      <c r="K38" s="12"/>
      <c r="L38" s="20">
        <f t="shared" si="14"/>
        <v>203</v>
      </c>
      <c r="M38" s="14">
        <f t="shared" si="3"/>
        <v>419</v>
      </c>
      <c r="N38" s="21" t="s">
        <v>26</v>
      </c>
      <c r="O38" s="30">
        <f t="shared" si="10"/>
        <v>-8</v>
      </c>
      <c r="P38" s="35"/>
      <c r="Q38" s="32"/>
    </row>
    <row r="39" ht="22.5" customHeight="1">
      <c r="A39" s="8">
        <v>46000.0</v>
      </c>
      <c r="B39" s="9">
        <v>16.0</v>
      </c>
      <c r="C39" s="9">
        <f t="shared" si="7"/>
        <v>216</v>
      </c>
      <c r="D39" s="9">
        <v>0.0</v>
      </c>
      <c r="E39" s="9">
        <f t="shared" si="12"/>
        <v>203</v>
      </c>
      <c r="F39" s="9">
        <v>0.0</v>
      </c>
      <c r="G39" s="9">
        <v>5.0</v>
      </c>
      <c r="H39" s="9">
        <f t="shared" si="13"/>
        <v>4</v>
      </c>
      <c r="I39" s="9">
        <v>0.0</v>
      </c>
      <c r="J39" s="11">
        <f t="shared" si="8"/>
        <v>227</v>
      </c>
      <c r="K39" s="12"/>
      <c r="L39" s="20">
        <f t="shared" si="14"/>
        <v>203</v>
      </c>
      <c r="M39" s="14">
        <f t="shared" si="3"/>
        <v>430</v>
      </c>
      <c r="N39" s="15"/>
      <c r="O39" s="30">
        <f t="shared" si="10"/>
        <v>0</v>
      </c>
      <c r="P39" s="35"/>
      <c r="Q39" s="32"/>
    </row>
    <row r="40" ht="22.5" customHeight="1">
      <c r="A40" s="8">
        <v>46001.0</v>
      </c>
      <c r="B40" s="9">
        <v>16.0</v>
      </c>
      <c r="C40" s="9">
        <f t="shared" si="7"/>
        <v>227</v>
      </c>
      <c r="D40" s="36">
        <v>30.0</v>
      </c>
      <c r="E40" s="9">
        <f t="shared" si="12"/>
        <v>203</v>
      </c>
      <c r="F40" s="9">
        <v>0.0</v>
      </c>
      <c r="G40" s="9">
        <v>0.0</v>
      </c>
      <c r="H40" s="9">
        <f t="shared" si="13"/>
        <v>4</v>
      </c>
      <c r="I40" s="9">
        <v>0.0</v>
      </c>
      <c r="J40" s="11">
        <f t="shared" si="8"/>
        <v>213</v>
      </c>
      <c r="K40" s="12"/>
      <c r="L40" s="20">
        <f t="shared" si="14"/>
        <v>233</v>
      </c>
      <c r="M40" s="14">
        <f t="shared" si="3"/>
        <v>446</v>
      </c>
      <c r="N40" s="21" t="s">
        <v>27</v>
      </c>
      <c r="O40" s="30">
        <f t="shared" si="10"/>
        <v>0</v>
      </c>
      <c r="P40" s="35"/>
      <c r="Q40" s="32"/>
    </row>
    <row r="41" ht="22.5" customHeight="1">
      <c r="A41" s="8">
        <v>46002.0</v>
      </c>
      <c r="B41" s="9">
        <v>4.0</v>
      </c>
      <c r="C41" s="9">
        <f t="shared" si="7"/>
        <v>213</v>
      </c>
      <c r="D41" s="9">
        <v>0.0</v>
      </c>
      <c r="E41" s="9">
        <f t="shared" si="12"/>
        <v>233</v>
      </c>
      <c r="F41" s="9">
        <v>0.0</v>
      </c>
      <c r="G41" s="9">
        <v>0.0</v>
      </c>
      <c r="H41" s="9">
        <f t="shared" si="13"/>
        <v>4</v>
      </c>
      <c r="I41" s="9">
        <v>0.0</v>
      </c>
      <c r="J41" s="11">
        <f t="shared" si="8"/>
        <v>217</v>
      </c>
      <c r="K41" s="12"/>
      <c r="L41" s="20">
        <f t="shared" si="14"/>
        <v>233</v>
      </c>
      <c r="M41" s="14">
        <f t="shared" si="3"/>
        <v>450</v>
      </c>
      <c r="N41" s="15"/>
      <c r="O41" s="30">
        <f t="shared" si="10"/>
        <v>-12</v>
      </c>
      <c r="P41" s="35"/>
      <c r="Q41" s="32"/>
    </row>
    <row r="42" ht="22.5" customHeight="1">
      <c r="A42" s="8">
        <v>46003.0</v>
      </c>
      <c r="B42" s="9">
        <v>12.0</v>
      </c>
      <c r="C42" s="9">
        <f t="shared" si="7"/>
        <v>217</v>
      </c>
      <c r="D42" s="9">
        <v>0.0</v>
      </c>
      <c r="E42" s="9">
        <f t="shared" si="12"/>
        <v>233</v>
      </c>
      <c r="F42" s="9">
        <v>0.0</v>
      </c>
      <c r="G42" s="9">
        <v>0.0</v>
      </c>
      <c r="H42" s="9">
        <f t="shared" si="13"/>
        <v>4</v>
      </c>
      <c r="I42" s="9">
        <v>0.0</v>
      </c>
      <c r="J42" s="11">
        <f t="shared" si="8"/>
        <v>229</v>
      </c>
      <c r="K42" s="12"/>
      <c r="L42" s="20">
        <f t="shared" si="14"/>
        <v>233</v>
      </c>
      <c r="M42" s="14">
        <f t="shared" si="3"/>
        <v>462</v>
      </c>
      <c r="N42" s="15"/>
      <c r="O42" s="30">
        <f t="shared" si="10"/>
        <v>-4</v>
      </c>
      <c r="P42" s="35"/>
      <c r="Q42" s="32"/>
    </row>
    <row r="43" ht="22.5" customHeight="1">
      <c r="A43" s="8">
        <v>46007.0</v>
      </c>
      <c r="B43" s="9">
        <v>16.0</v>
      </c>
      <c r="C43" s="9">
        <f t="shared" si="7"/>
        <v>229</v>
      </c>
      <c r="D43" s="9">
        <v>0.0</v>
      </c>
      <c r="E43" s="9">
        <f t="shared" si="12"/>
        <v>233</v>
      </c>
      <c r="F43" s="9">
        <v>0.0</v>
      </c>
      <c r="G43" s="9">
        <v>0.0</v>
      </c>
      <c r="H43" s="9">
        <v>4.0</v>
      </c>
      <c r="I43" s="9">
        <v>0.0</v>
      </c>
      <c r="J43" s="11">
        <f t="shared" si="8"/>
        <v>245</v>
      </c>
      <c r="K43" s="12"/>
      <c r="L43" s="20">
        <f t="shared" si="14"/>
        <v>233</v>
      </c>
      <c r="M43" s="14">
        <f t="shared" si="3"/>
        <v>478</v>
      </c>
      <c r="N43" s="15"/>
      <c r="O43" s="30">
        <f t="shared" si="10"/>
        <v>0</v>
      </c>
      <c r="P43" s="35"/>
      <c r="Q43" s="32"/>
    </row>
    <row r="44" ht="22.5" customHeight="1">
      <c r="A44" s="8">
        <v>46008.0</v>
      </c>
      <c r="B44" s="9">
        <v>16.0</v>
      </c>
      <c r="C44" s="9">
        <f t="shared" si="7"/>
        <v>245</v>
      </c>
      <c r="D44" s="36">
        <v>29.0</v>
      </c>
      <c r="E44" s="9">
        <f t="shared" si="12"/>
        <v>233</v>
      </c>
      <c r="F44" s="9">
        <v>0.0</v>
      </c>
      <c r="G44" s="9">
        <v>0.0</v>
      </c>
      <c r="H44" s="9">
        <v>4.0</v>
      </c>
      <c r="I44" s="9">
        <v>0.0</v>
      </c>
      <c r="J44" s="11">
        <f t="shared" si="8"/>
        <v>232</v>
      </c>
      <c r="K44" s="12"/>
      <c r="L44" s="20">
        <f t="shared" si="14"/>
        <v>262</v>
      </c>
      <c r="M44" s="14">
        <f t="shared" si="3"/>
        <v>494</v>
      </c>
      <c r="N44" s="21" t="s">
        <v>28</v>
      </c>
      <c r="O44" s="30">
        <f t="shared" si="10"/>
        <v>0</v>
      </c>
      <c r="P44" s="35"/>
      <c r="Q44" s="32"/>
    </row>
    <row r="45" ht="22.5" customHeight="1">
      <c r="A45" s="8">
        <v>46009.0</v>
      </c>
      <c r="B45" s="9">
        <v>7.0</v>
      </c>
      <c r="C45" s="9">
        <f t="shared" si="7"/>
        <v>232</v>
      </c>
      <c r="D45" s="9">
        <v>0.0</v>
      </c>
      <c r="E45" s="9">
        <f t="shared" si="12"/>
        <v>262</v>
      </c>
      <c r="F45" s="9">
        <v>0.0</v>
      </c>
      <c r="G45" s="9">
        <v>1.0</v>
      </c>
      <c r="H45" s="9">
        <v>4.0</v>
      </c>
      <c r="I45" s="9">
        <v>0.0</v>
      </c>
      <c r="J45" s="11">
        <f t="shared" si="8"/>
        <v>238</v>
      </c>
      <c r="K45" s="12"/>
      <c r="L45" s="20">
        <f t="shared" si="14"/>
        <v>262</v>
      </c>
      <c r="M45" s="14">
        <f t="shared" si="3"/>
        <v>500</v>
      </c>
      <c r="N45" s="21" t="s">
        <v>29</v>
      </c>
      <c r="O45" s="30">
        <f t="shared" si="10"/>
        <v>-9</v>
      </c>
      <c r="P45" s="35"/>
      <c r="Q45" s="32"/>
    </row>
    <row r="46" ht="22.5" customHeight="1">
      <c r="A46" s="8">
        <v>46010.0</v>
      </c>
      <c r="B46" s="9">
        <v>0.0</v>
      </c>
      <c r="C46" s="9">
        <f t="shared" si="7"/>
        <v>238</v>
      </c>
      <c r="D46" s="9">
        <v>0.0</v>
      </c>
      <c r="E46" s="9">
        <f t="shared" si="12"/>
        <v>262</v>
      </c>
      <c r="F46" s="9">
        <v>0.0</v>
      </c>
      <c r="G46" s="9">
        <v>0.0</v>
      </c>
      <c r="H46" s="9">
        <v>4.0</v>
      </c>
      <c r="I46" s="9">
        <v>0.0</v>
      </c>
      <c r="J46" s="11">
        <f t="shared" si="8"/>
        <v>238</v>
      </c>
      <c r="K46" s="12"/>
      <c r="L46" s="20">
        <f t="shared" si="14"/>
        <v>262</v>
      </c>
      <c r="M46" s="14">
        <f t="shared" si="3"/>
        <v>500</v>
      </c>
      <c r="N46" s="15"/>
      <c r="O46" s="30">
        <f t="shared" si="10"/>
        <v>-16</v>
      </c>
      <c r="P46" s="35"/>
      <c r="Q46" s="32"/>
    </row>
    <row r="47" ht="22.5" customHeight="1">
      <c r="A47" s="37">
        <v>46034.0</v>
      </c>
      <c r="B47" s="38">
        <v>0.0</v>
      </c>
      <c r="C47" s="38">
        <v>291.0</v>
      </c>
      <c r="D47" s="38">
        <v>0.0</v>
      </c>
      <c r="E47" s="38">
        <v>262.0</v>
      </c>
      <c r="F47" s="38">
        <v>0.0</v>
      </c>
      <c r="G47" s="38">
        <v>0.0</v>
      </c>
      <c r="H47" s="38">
        <v>4.0</v>
      </c>
      <c r="I47" s="38">
        <v>0.0</v>
      </c>
      <c r="J47" s="39">
        <f t="shared" si="8"/>
        <v>291</v>
      </c>
      <c r="K47" s="39"/>
      <c r="L47" s="40">
        <f t="shared" si="14"/>
        <v>262</v>
      </c>
      <c r="M47" s="39">
        <f t="shared" si="3"/>
        <v>553</v>
      </c>
      <c r="N47" s="41"/>
      <c r="O47" s="38">
        <f t="shared" si="10"/>
        <v>-16</v>
      </c>
      <c r="P47" s="42"/>
      <c r="Q47" s="43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</row>
    <row r="48" ht="22.5" customHeight="1">
      <c r="A48" s="8">
        <v>46035.0</v>
      </c>
      <c r="B48" s="9">
        <v>14.0</v>
      </c>
      <c r="C48" s="9">
        <f t="shared" ref="C48:C86" si="15">J47</f>
        <v>291</v>
      </c>
      <c r="D48" s="36">
        <v>29.0</v>
      </c>
      <c r="E48" s="9">
        <f t="shared" ref="E48:E66" si="16">L47</f>
        <v>262</v>
      </c>
      <c r="F48" s="9">
        <v>0.0</v>
      </c>
      <c r="G48" s="9">
        <v>0.0</v>
      </c>
      <c r="H48" s="9">
        <v>4.0</v>
      </c>
      <c r="I48" s="9">
        <v>0.0</v>
      </c>
      <c r="J48" s="11">
        <f t="shared" si="8"/>
        <v>276</v>
      </c>
      <c r="K48" s="12"/>
      <c r="L48" s="20">
        <f t="shared" si="14"/>
        <v>291</v>
      </c>
      <c r="M48" s="14">
        <f t="shared" si="3"/>
        <v>567</v>
      </c>
      <c r="N48" s="21" t="s">
        <v>30</v>
      </c>
      <c r="O48" s="30">
        <f t="shared" si="10"/>
        <v>-2</v>
      </c>
      <c r="P48" s="35"/>
      <c r="Q48" s="32"/>
    </row>
    <row r="49" ht="22.5" customHeight="1">
      <c r="A49" s="8">
        <v>46036.0</v>
      </c>
      <c r="B49" s="9">
        <v>12.0</v>
      </c>
      <c r="C49" s="9">
        <f t="shared" si="15"/>
        <v>276</v>
      </c>
      <c r="D49" s="9">
        <v>0.0</v>
      </c>
      <c r="E49" s="9">
        <f t="shared" si="16"/>
        <v>291</v>
      </c>
      <c r="F49" s="9">
        <v>0.0</v>
      </c>
      <c r="G49" s="9">
        <v>0.0</v>
      </c>
      <c r="H49" s="9">
        <v>4.0</v>
      </c>
      <c r="I49" s="9">
        <v>0.0</v>
      </c>
      <c r="J49" s="11">
        <f t="shared" si="8"/>
        <v>288</v>
      </c>
      <c r="K49" s="12"/>
      <c r="L49" s="20">
        <f t="shared" si="14"/>
        <v>291</v>
      </c>
      <c r="M49" s="14">
        <f t="shared" si="3"/>
        <v>579</v>
      </c>
      <c r="N49" s="15"/>
      <c r="O49" s="30">
        <f t="shared" si="10"/>
        <v>-4</v>
      </c>
      <c r="P49" s="35"/>
      <c r="Q49" s="32"/>
    </row>
    <row r="50" ht="22.5" customHeight="1">
      <c r="A50" s="8">
        <v>46037.0</v>
      </c>
      <c r="B50" s="9">
        <v>10.0</v>
      </c>
      <c r="C50" s="9">
        <f t="shared" si="15"/>
        <v>288</v>
      </c>
      <c r="D50" s="36">
        <v>29.0</v>
      </c>
      <c r="E50" s="9">
        <f t="shared" si="16"/>
        <v>291</v>
      </c>
      <c r="F50" s="9">
        <v>0.0</v>
      </c>
      <c r="G50" s="9">
        <v>0.0</v>
      </c>
      <c r="H50" s="9">
        <v>4.0</v>
      </c>
      <c r="I50" s="9">
        <v>0.0</v>
      </c>
      <c r="J50" s="11">
        <f t="shared" si="8"/>
        <v>269</v>
      </c>
      <c r="K50" s="12"/>
      <c r="L50" s="20">
        <f t="shared" si="14"/>
        <v>320</v>
      </c>
      <c r="M50" s="14">
        <f t="shared" si="3"/>
        <v>589</v>
      </c>
      <c r="N50" s="21" t="s">
        <v>30</v>
      </c>
      <c r="O50" s="30">
        <f t="shared" si="10"/>
        <v>-6</v>
      </c>
      <c r="P50" s="35"/>
      <c r="Q50" s="32"/>
    </row>
    <row r="51" ht="22.5" customHeight="1">
      <c r="A51" s="8">
        <v>46038.0</v>
      </c>
      <c r="B51" s="9">
        <v>0.0</v>
      </c>
      <c r="C51" s="9">
        <f t="shared" si="15"/>
        <v>269</v>
      </c>
      <c r="D51" s="9">
        <v>0.0</v>
      </c>
      <c r="E51" s="9">
        <f t="shared" si="16"/>
        <v>320</v>
      </c>
      <c r="F51" s="9">
        <v>0.0</v>
      </c>
      <c r="G51" s="9">
        <v>0.0</v>
      </c>
      <c r="H51" s="9">
        <v>4.0</v>
      </c>
      <c r="I51" s="9">
        <v>0.0</v>
      </c>
      <c r="J51" s="11">
        <f t="shared" si="8"/>
        <v>269</v>
      </c>
      <c r="K51" s="12"/>
      <c r="L51" s="20">
        <f t="shared" si="14"/>
        <v>320</v>
      </c>
      <c r="M51" s="14">
        <f t="shared" si="3"/>
        <v>589</v>
      </c>
      <c r="N51" s="21" t="s">
        <v>31</v>
      </c>
      <c r="O51" s="30">
        <f t="shared" si="10"/>
        <v>-16</v>
      </c>
      <c r="P51" s="35"/>
      <c r="Q51" s="32"/>
    </row>
    <row r="52" ht="22.5" customHeight="1">
      <c r="A52" s="37">
        <v>46041.0</v>
      </c>
      <c r="B52" s="38">
        <v>15.0</v>
      </c>
      <c r="C52" s="38">
        <f t="shared" si="15"/>
        <v>269</v>
      </c>
      <c r="D52" s="38">
        <v>0.0</v>
      </c>
      <c r="E52" s="38">
        <f t="shared" si="16"/>
        <v>320</v>
      </c>
      <c r="F52" s="38">
        <v>0.0</v>
      </c>
      <c r="G52" s="38">
        <v>0.0</v>
      </c>
      <c r="H52" s="38">
        <v>4.0</v>
      </c>
      <c r="I52" s="38">
        <v>0.0</v>
      </c>
      <c r="J52" s="39">
        <f t="shared" si="8"/>
        <v>284</v>
      </c>
      <c r="K52" s="39"/>
      <c r="L52" s="40">
        <f t="shared" si="14"/>
        <v>320</v>
      </c>
      <c r="M52" s="39">
        <f t="shared" si="3"/>
        <v>604</v>
      </c>
      <c r="N52" s="41"/>
      <c r="O52" s="38">
        <f t="shared" si="10"/>
        <v>-1</v>
      </c>
      <c r="P52" s="42"/>
      <c r="Q52" s="43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</row>
    <row r="53" ht="22.5" customHeight="1">
      <c r="A53" s="8">
        <v>46042.0</v>
      </c>
      <c r="B53" s="9">
        <v>16.0</v>
      </c>
      <c r="C53" s="9">
        <f t="shared" si="15"/>
        <v>284</v>
      </c>
      <c r="D53" s="36">
        <v>29.0</v>
      </c>
      <c r="E53" s="9">
        <f t="shared" si="16"/>
        <v>320</v>
      </c>
      <c r="F53" s="9">
        <v>0.0</v>
      </c>
      <c r="G53" s="9">
        <v>0.0</v>
      </c>
      <c r="H53" s="9">
        <v>4.0</v>
      </c>
      <c r="I53" s="9">
        <v>0.0</v>
      </c>
      <c r="J53" s="11">
        <f t="shared" si="8"/>
        <v>271</v>
      </c>
      <c r="K53" s="12"/>
      <c r="L53" s="20">
        <f t="shared" si="14"/>
        <v>349</v>
      </c>
      <c r="M53" s="14">
        <f t="shared" si="3"/>
        <v>620</v>
      </c>
      <c r="N53" s="21" t="s">
        <v>32</v>
      </c>
      <c r="O53" s="30">
        <f t="shared" si="10"/>
        <v>0</v>
      </c>
      <c r="P53" s="35"/>
      <c r="Q53" s="32"/>
    </row>
    <row r="54" ht="22.5" customHeight="1">
      <c r="A54" s="8">
        <v>46043.0</v>
      </c>
      <c r="B54" s="9">
        <v>3.0</v>
      </c>
      <c r="C54" s="9">
        <f t="shared" si="15"/>
        <v>271</v>
      </c>
      <c r="D54" s="9">
        <v>0.0</v>
      </c>
      <c r="E54" s="9">
        <f t="shared" si="16"/>
        <v>349</v>
      </c>
      <c r="F54" s="9">
        <v>0.0</v>
      </c>
      <c r="G54" s="9">
        <v>0.0</v>
      </c>
      <c r="H54" s="9">
        <v>4.0</v>
      </c>
      <c r="I54" s="9">
        <v>0.0</v>
      </c>
      <c r="J54" s="11">
        <f t="shared" si="8"/>
        <v>274</v>
      </c>
      <c r="K54" s="12"/>
      <c r="L54" s="20">
        <f t="shared" si="14"/>
        <v>349</v>
      </c>
      <c r="M54" s="14">
        <f t="shared" si="3"/>
        <v>623</v>
      </c>
      <c r="N54" s="21" t="s">
        <v>21</v>
      </c>
      <c r="O54" s="30">
        <f t="shared" si="10"/>
        <v>-13</v>
      </c>
      <c r="P54" s="35"/>
      <c r="Q54" s="32"/>
    </row>
    <row r="55" ht="22.5" customHeight="1">
      <c r="A55" s="8">
        <v>46044.0</v>
      </c>
      <c r="B55" s="9">
        <v>3.0</v>
      </c>
      <c r="C55" s="9">
        <f t="shared" si="15"/>
        <v>274</v>
      </c>
      <c r="D55" s="9">
        <v>0.0</v>
      </c>
      <c r="E55" s="9">
        <f t="shared" si="16"/>
        <v>349</v>
      </c>
      <c r="F55" s="9">
        <v>0.0</v>
      </c>
      <c r="G55" s="9">
        <v>0.0</v>
      </c>
      <c r="H55" s="9">
        <v>4.0</v>
      </c>
      <c r="I55" s="9">
        <v>0.0</v>
      </c>
      <c r="J55" s="11">
        <f t="shared" si="8"/>
        <v>277</v>
      </c>
      <c r="K55" s="12"/>
      <c r="L55" s="20">
        <f t="shared" si="14"/>
        <v>349</v>
      </c>
      <c r="M55" s="14">
        <f t="shared" si="3"/>
        <v>626</v>
      </c>
      <c r="N55" s="15"/>
      <c r="O55" s="30">
        <f t="shared" si="10"/>
        <v>-13</v>
      </c>
      <c r="P55" s="35"/>
      <c r="Q55" s="32"/>
    </row>
    <row r="56" ht="22.5" customHeight="1">
      <c r="A56" s="8">
        <v>46045.0</v>
      </c>
      <c r="B56" s="9">
        <v>5.0</v>
      </c>
      <c r="C56" s="9">
        <f t="shared" si="15"/>
        <v>277</v>
      </c>
      <c r="D56" s="9">
        <v>0.0</v>
      </c>
      <c r="E56" s="9">
        <f t="shared" si="16"/>
        <v>349</v>
      </c>
      <c r="F56" s="9">
        <v>0.0</v>
      </c>
      <c r="G56" s="9">
        <v>0.0</v>
      </c>
      <c r="H56" s="9">
        <v>4.0</v>
      </c>
      <c r="I56" s="9">
        <v>0.0</v>
      </c>
      <c r="J56" s="11">
        <f t="shared" si="8"/>
        <v>282</v>
      </c>
      <c r="K56" s="12"/>
      <c r="L56" s="20">
        <f t="shared" si="14"/>
        <v>349</v>
      </c>
      <c r="M56" s="14">
        <f t="shared" si="3"/>
        <v>631</v>
      </c>
      <c r="N56" s="15"/>
      <c r="O56" s="30">
        <f t="shared" si="10"/>
        <v>-11</v>
      </c>
      <c r="P56" s="35"/>
      <c r="Q56" s="32"/>
    </row>
    <row r="57" ht="22.5" customHeight="1">
      <c r="A57" s="37">
        <v>46048.0</v>
      </c>
      <c r="B57" s="38">
        <v>13.0</v>
      </c>
      <c r="C57" s="38">
        <f t="shared" si="15"/>
        <v>282</v>
      </c>
      <c r="D57" s="38">
        <v>0.0</v>
      </c>
      <c r="E57" s="38">
        <f t="shared" si="16"/>
        <v>349</v>
      </c>
      <c r="F57" s="38">
        <v>0.0</v>
      </c>
      <c r="G57" s="38">
        <v>1.0</v>
      </c>
      <c r="H57" s="38">
        <v>4.0</v>
      </c>
      <c r="I57" s="38">
        <v>0.0</v>
      </c>
      <c r="J57" s="39">
        <f t="shared" si="8"/>
        <v>294</v>
      </c>
      <c r="K57" s="39"/>
      <c r="L57" s="40">
        <f t="shared" si="14"/>
        <v>349</v>
      </c>
      <c r="M57" s="39">
        <f t="shared" si="3"/>
        <v>643</v>
      </c>
      <c r="N57" s="41"/>
      <c r="O57" s="38">
        <f t="shared" si="10"/>
        <v>-3</v>
      </c>
      <c r="P57" s="42"/>
      <c r="Q57" s="43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</row>
    <row r="58" ht="22.5" customHeight="1">
      <c r="A58" s="8">
        <v>46049.0</v>
      </c>
      <c r="B58" s="9">
        <v>16.0</v>
      </c>
      <c r="C58" s="9">
        <f t="shared" si="15"/>
        <v>294</v>
      </c>
      <c r="D58" s="9">
        <v>0.0</v>
      </c>
      <c r="E58" s="9">
        <f t="shared" si="16"/>
        <v>349</v>
      </c>
      <c r="F58" s="9">
        <v>0.0</v>
      </c>
      <c r="G58" s="9">
        <v>0.0</v>
      </c>
      <c r="H58" s="9">
        <v>4.0</v>
      </c>
      <c r="I58" s="9">
        <v>0.0</v>
      </c>
      <c r="J58" s="11">
        <f t="shared" si="8"/>
        <v>310</v>
      </c>
      <c r="K58" s="12"/>
      <c r="L58" s="20">
        <f t="shared" si="14"/>
        <v>349</v>
      </c>
      <c r="M58" s="14">
        <f t="shared" si="3"/>
        <v>659</v>
      </c>
      <c r="N58" s="15"/>
      <c r="O58" s="30">
        <f t="shared" si="10"/>
        <v>0</v>
      </c>
      <c r="P58" s="35"/>
      <c r="Q58" s="32"/>
    </row>
    <row r="59" ht="22.5" customHeight="1">
      <c r="A59" s="8">
        <v>46050.0</v>
      </c>
      <c r="B59" s="9">
        <v>10.0</v>
      </c>
      <c r="C59" s="9">
        <f t="shared" si="15"/>
        <v>310</v>
      </c>
      <c r="D59" s="9">
        <v>0.0</v>
      </c>
      <c r="E59" s="9">
        <f t="shared" si="16"/>
        <v>349</v>
      </c>
      <c r="F59" s="9">
        <v>0.0</v>
      </c>
      <c r="G59" s="9">
        <v>0.0</v>
      </c>
      <c r="H59" s="9">
        <v>4.0</v>
      </c>
      <c r="I59" s="9">
        <v>0.0</v>
      </c>
      <c r="J59" s="11">
        <f t="shared" si="8"/>
        <v>320</v>
      </c>
      <c r="K59" s="12"/>
      <c r="L59" s="20">
        <f t="shared" si="14"/>
        <v>349</v>
      </c>
      <c r="M59" s="14">
        <f t="shared" si="3"/>
        <v>669</v>
      </c>
      <c r="N59" s="15"/>
      <c r="O59" s="30">
        <f t="shared" si="10"/>
        <v>-6</v>
      </c>
      <c r="P59" s="35"/>
      <c r="Q59" s="32"/>
    </row>
    <row r="60" ht="22.5" customHeight="1">
      <c r="A60" s="8">
        <v>46051.0</v>
      </c>
      <c r="B60" s="9">
        <v>8.0</v>
      </c>
      <c r="C60" s="9">
        <f t="shared" si="15"/>
        <v>320</v>
      </c>
      <c r="D60" s="9">
        <v>0.0</v>
      </c>
      <c r="E60" s="9">
        <f t="shared" si="16"/>
        <v>349</v>
      </c>
      <c r="F60" s="9">
        <v>0.0</v>
      </c>
      <c r="G60" s="9">
        <v>0.0</v>
      </c>
      <c r="H60" s="9">
        <v>4.0</v>
      </c>
      <c r="I60" s="9">
        <v>0.0</v>
      </c>
      <c r="J60" s="11">
        <f t="shared" si="8"/>
        <v>328</v>
      </c>
      <c r="K60" s="12"/>
      <c r="L60" s="20">
        <f t="shared" si="14"/>
        <v>349</v>
      </c>
      <c r="M60" s="14">
        <f t="shared" si="3"/>
        <v>677</v>
      </c>
      <c r="N60" s="15"/>
      <c r="O60" s="30">
        <f t="shared" si="10"/>
        <v>-8</v>
      </c>
      <c r="P60" s="35"/>
      <c r="Q60" s="32"/>
    </row>
    <row r="61" ht="22.5" customHeight="1">
      <c r="A61" s="8">
        <v>46052.0</v>
      </c>
      <c r="B61" s="9">
        <v>0.0</v>
      </c>
      <c r="C61" s="9">
        <f t="shared" si="15"/>
        <v>328</v>
      </c>
      <c r="D61" s="9">
        <v>0.0</v>
      </c>
      <c r="E61" s="9">
        <f t="shared" si="16"/>
        <v>349</v>
      </c>
      <c r="F61" s="9">
        <v>0.0</v>
      </c>
      <c r="G61" s="9">
        <v>0.0</v>
      </c>
      <c r="H61" s="9">
        <v>4.0</v>
      </c>
      <c r="I61" s="9">
        <v>0.0</v>
      </c>
      <c r="J61" s="11">
        <f t="shared" si="8"/>
        <v>328</v>
      </c>
      <c r="K61" s="12"/>
      <c r="L61" s="20">
        <f t="shared" si="14"/>
        <v>349</v>
      </c>
      <c r="M61" s="14">
        <f t="shared" si="3"/>
        <v>677</v>
      </c>
      <c r="N61" s="15"/>
      <c r="O61" s="30">
        <f t="shared" si="10"/>
        <v>-16</v>
      </c>
      <c r="P61" s="35"/>
      <c r="Q61" s="32"/>
    </row>
    <row r="62" ht="22.5" customHeight="1">
      <c r="A62" s="45" t="s">
        <v>33</v>
      </c>
      <c r="B62" s="46">
        <f>SUM(B47:B61)</f>
        <v>125</v>
      </c>
      <c r="C62" s="46">
        <f t="shared" si="15"/>
        <v>328</v>
      </c>
      <c r="D62" s="46">
        <v>0.0</v>
      </c>
      <c r="E62" s="46">
        <f t="shared" si="16"/>
        <v>349</v>
      </c>
      <c r="F62" s="46">
        <v>0.0</v>
      </c>
      <c r="G62" s="46">
        <v>0.0</v>
      </c>
      <c r="H62" s="46">
        <v>4.0</v>
      </c>
      <c r="I62" s="46">
        <v>0.0</v>
      </c>
      <c r="J62" s="47">
        <f>J61</f>
        <v>328</v>
      </c>
      <c r="K62" s="47"/>
      <c r="L62" s="48">
        <f>L61</f>
        <v>349</v>
      </c>
      <c r="M62" s="47">
        <f t="shared" si="3"/>
        <v>677</v>
      </c>
      <c r="N62" s="49"/>
      <c r="O62" s="46">
        <f t="shared" si="10"/>
        <v>109</v>
      </c>
      <c r="P62" s="50"/>
      <c r="Q62" s="51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</row>
    <row r="63" ht="22.5" customHeight="1">
      <c r="A63" s="8">
        <v>45690.0</v>
      </c>
      <c r="B63" s="9">
        <v>12.0</v>
      </c>
      <c r="C63" s="9">
        <f t="shared" si="15"/>
        <v>328</v>
      </c>
      <c r="D63" s="9">
        <v>0.0</v>
      </c>
      <c r="E63" s="9">
        <f t="shared" si="16"/>
        <v>349</v>
      </c>
      <c r="F63" s="9">
        <v>0.0</v>
      </c>
      <c r="G63" s="9">
        <v>0.0</v>
      </c>
      <c r="H63" s="9">
        <v>4.0</v>
      </c>
      <c r="I63" s="9">
        <v>0.0</v>
      </c>
      <c r="J63" s="11">
        <f t="shared" ref="J63:J67" si="17">J62+B63-D63-G63-F63</f>
        <v>340</v>
      </c>
      <c r="K63" s="12"/>
      <c r="L63" s="20">
        <f t="shared" ref="L63:L86" si="18">E63+D63</f>
        <v>349</v>
      </c>
      <c r="M63" s="14">
        <f t="shared" si="3"/>
        <v>689</v>
      </c>
      <c r="N63" s="15"/>
      <c r="O63" s="30">
        <f t="shared" si="10"/>
        <v>-4</v>
      </c>
      <c r="P63" s="35"/>
      <c r="Q63" s="32"/>
    </row>
    <row r="64" ht="22.5" customHeight="1">
      <c r="A64" s="8">
        <v>45691.0</v>
      </c>
      <c r="B64" s="9">
        <v>15.0</v>
      </c>
      <c r="C64" s="9">
        <f t="shared" si="15"/>
        <v>340</v>
      </c>
      <c r="D64" s="9">
        <v>0.0</v>
      </c>
      <c r="E64" s="9">
        <f t="shared" si="16"/>
        <v>349</v>
      </c>
      <c r="F64" s="9">
        <v>0.0</v>
      </c>
      <c r="G64" s="9">
        <v>0.0</v>
      </c>
      <c r="H64" s="9">
        <v>4.0</v>
      </c>
      <c r="I64" s="9">
        <v>0.0</v>
      </c>
      <c r="J64" s="11">
        <f t="shared" si="17"/>
        <v>355</v>
      </c>
      <c r="K64" s="12"/>
      <c r="L64" s="20">
        <f t="shared" si="18"/>
        <v>349</v>
      </c>
      <c r="M64" s="14">
        <f t="shared" si="3"/>
        <v>704</v>
      </c>
      <c r="N64" s="15"/>
      <c r="O64" s="30">
        <f t="shared" si="10"/>
        <v>-1</v>
      </c>
      <c r="P64" s="35"/>
      <c r="Q64" s="32"/>
    </row>
    <row r="65" ht="22.5" customHeight="1">
      <c r="A65" s="8">
        <v>45692.0</v>
      </c>
      <c r="B65" s="9">
        <v>15.0</v>
      </c>
      <c r="C65" s="9">
        <f t="shared" si="15"/>
        <v>355</v>
      </c>
      <c r="D65" s="9">
        <v>0.0</v>
      </c>
      <c r="E65" s="9">
        <f t="shared" si="16"/>
        <v>349</v>
      </c>
      <c r="F65" s="9">
        <v>0.0</v>
      </c>
      <c r="G65" s="9">
        <v>0.0</v>
      </c>
      <c r="H65" s="9">
        <v>4.0</v>
      </c>
      <c r="I65" s="9">
        <v>0.0</v>
      </c>
      <c r="J65" s="11">
        <f t="shared" si="17"/>
        <v>370</v>
      </c>
      <c r="K65" s="12"/>
      <c r="L65" s="20">
        <f t="shared" si="18"/>
        <v>349</v>
      </c>
      <c r="M65" s="14">
        <f t="shared" si="3"/>
        <v>719</v>
      </c>
      <c r="N65" s="15"/>
      <c r="O65" s="30">
        <f t="shared" si="10"/>
        <v>-1</v>
      </c>
      <c r="P65" s="35"/>
      <c r="Q65" s="32"/>
    </row>
    <row r="66" ht="22.5" customHeight="1">
      <c r="A66" s="8">
        <v>45693.0</v>
      </c>
      <c r="B66" s="9">
        <v>4.0</v>
      </c>
      <c r="C66" s="9">
        <f t="shared" si="15"/>
        <v>370</v>
      </c>
      <c r="D66" s="9">
        <v>0.0</v>
      </c>
      <c r="E66" s="9">
        <f t="shared" si="16"/>
        <v>349</v>
      </c>
      <c r="F66" s="9">
        <v>0.0</v>
      </c>
      <c r="G66" s="9">
        <v>0.0</v>
      </c>
      <c r="H66" s="9">
        <v>4.0</v>
      </c>
      <c r="I66" s="9">
        <v>0.0</v>
      </c>
      <c r="J66" s="11">
        <f t="shared" si="17"/>
        <v>374</v>
      </c>
      <c r="K66" s="12"/>
      <c r="L66" s="20">
        <f t="shared" si="18"/>
        <v>349</v>
      </c>
      <c r="M66" s="14">
        <f t="shared" si="3"/>
        <v>723</v>
      </c>
      <c r="N66" s="21" t="s">
        <v>34</v>
      </c>
      <c r="O66" s="30">
        <f t="shared" si="10"/>
        <v>-12</v>
      </c>
      <c r="P66" s="35"/>
      <c r="Q66" s="32"/>
    </row>
    <row r="67" ht="22.5" customHeight="1">
      <c r="A67" s="8">
        <v>45694.0</v>
      </c>
      <c r="B67" s="9">
        <v>0.0</v>
      </c>
      <c r="C67" s="9">
        <f t="shared" si="15"/>
        <v>374</v>
      </c>
      <c r="D67" s="9">
        <v>0.0</v>
      </c>
      <c r="E67" s="9">
        <f>L64</f>
        <v>349</v>
      </c>
      <c r="F67" s="9">
        <v>0.0</v>
      </c>
      <c r="G67" s="9">
        <v>0.0</v>
      </c>
      <c r="H67" s="9">
        <v>4.0</v>
      </c>
      <c r="I67" s="9">
        <v>0.0</v>
      </c>
      <c r="J67" s="11">
        <f t="shared" si="17"/>
        <v>374</v>
      </c>
      <c r="K67" s="12"/>
      <c r="L67" s="20">
        <f t="shared" si="18"/>
        <v>349</v>
      </c>
      <c r="M67" s="14">
        <f t="shared" si="3"/>
        <v>723</v>
      </c>
      <c r="N67" s="21" t="s">
        <v>34</v>
      </c>
      <c r="O67" s="30">
        <f t="shared" si="10"/>
        <v>-16</v>
      </c>
      <c r="P67" s="35"/>
      <c r="Q67" s="32"/>
    </row>
    <row r="68" ht="22.5" customHeight="1">
      <c r="A68" s="45" t="s">
        <v>35</v>
      </c>
      <c r="B68" s="46">
        <f>SUM(B63:B67)</f>
        <v>46</v>
      </c>
      <c r="C68" s="46">
        <f t="shared" si="15"/>
        <v>374</v>
      </c>
      <c r="D68" s="46">
        <v>0.0</v>
      </c>
      <c r="E68" s="46">
        <f t="shared" ref="E68:E86" si="19">L67</f>
        <v>349</v>
      </c>
      <c r="F68" s="46">
        <v>0.0</v>
      </c>
      <c r="G68" s="46">
        <v>0.0</v>
      </c>
      <c r="H68" s="46">
        <v>4.0</v>
      </c>
      <c r="I68" s="46">
        <v>0.0</v>
      </c>
      <c r="J68" s="47"/>
      <c r="K68" s="47"/>
      <c r="L68" s="48">
        <f t="shared" si="18"/>
        <v>349</v>
      </c>
      <c r="M68" s="47">
        <f t="shared" si="3"/>
        <v>349</v>
      </c>
      <c r="N68" s="53" t="s">
        <v>36</v>
      </c>
      <c r="O68" s="46">
        <f t="shared" si="10"/>
        <v>30</v>
      </c>
      <c r="P68" s="50"/>
      <c r="Q68" s="51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</row>
    <row r="69" ht="22.5" customHeight="1">
      <c r="A69" s="8">
        <v>46062.0</v>
      </c>
      <c r="B69" s="9">
        <v>19.0</v>
      </c>
      <c r="C69" s="9" t="str">
        <f t="shared" si="15"/>
        <v/>
      </c>
      <c r="D69" s="9">
        <v>0.0</v>
      </c>
      <c r="E69" s="9">
        <f t="shared" si="19"/>
        <v>349</v>
      </c>
      <c r="F69" s="9">
        <v>0.0</v>
      </c>
      <c r="G69" s="9">
        <v>0.0</v>
      </c>
      <c r="H69" s="9">
        <v>4.0</v>
      </c>
      <c r="I69" s="9">
        <v>0.0</v>
      </c>
      <c r="J69" s="11">
        <f>J67+B69-D69-G69-F69</f>
        <v>393</v>
      </c>
      <c r="K69" s="12"/>
      <c r="L69" s="20">
        <f t="shared" si="18"/>
        <v>349</v>
      </c>
      <c r="M69" s="14">
        <f t="shared" si="3"/>
        <v>742</v>
      </c>
      <c r="N69" s="15"/>
      <c r="O69" s="30">
        <f t="shared" si="10"/>
        <v>3</v>
      </c>
      <c r="P69" s="35"/>
      <c r="Q69" s="32"/>
    </row>
    <row r="70" ht="22.5" customHeight="1">
      <c r="A70" s="8">
        <v>46063.0</v>
      </c>
      <c r="B70" s="9">
        <v>24.0</v>
      </c>
      <c r="C70" s="9">
        <f t="shared" si="15"/>
        <v>393</v>
      </c>
      <c r="D70" s="9">
        <v>0.0</v>
      </c>
      <c r="E70" s="9">
        <f t="shared" si="19"/>
        <v>349</v>
      </c>
      <c r="F70" s="9">
        <v>0.0</v>
      </c>
      <c r="G70" s="9">
        <v>0.0</v>
      </c>
      <c r="H70" s="9">
        <v>4.0</v>
      </c>
      <c r="I70" s="9">
        <v>0.0</v>
      </c>
      <c r="J70" s="11">
        <f t="shared" ref="J70:J73" si="20">C70+B70-D70-G70-F70</f>
        <v>417</v>
      </c>
      <c r="K70" s="12"/>
      <c r="L70" s="20">
        <f t="shared" si="18"/>
        <v>349</v>
      </c>
      <c r="M70" s="14">
        <f t="shared" si="3"/>
        <v>766</v>
      </c>
      <c r="N70" s="15"/>
      <c r="O70" s="30">
        <f t="shared" si="10"/>
        <v>8</v>
      </c>
      <c r="P70" s="35"/>
      <c r="Q70" s="32"/>
    </row>
    <row r="71" ht="22.5" customHeight="1">
      <c r="A71" s="8">
        <v>46064.0</v>
      </c>
      <c r="B71" s="9">
        <v>23.0</v>
      </c>
      <c r="C71" s="9">
        <f t="shared" si="15"/>
        <v>417</v>
      </c>
      <c r="D71" s="9">
        <v>0.0</v>
      </c>
      <c r="E71" s="9">
        <f t="shared" si="19"/>
        <v>349</v>
      </c>
      <c r="F71" s="9">
        <v>1.0</v>
      </c>
      <c r="G71" s="9">
        <v>0.0</v>
      </c>
      <c r="H71" s="9">
        <v>4.0</v>
      </c>
      <c r="I71" s="9">
        <v>0.0</v>
      </c>
      <c r="J71" s="11">
        <f t="shared" si="20"/>
        <v>439</v>
      </c>
      <c r="K71" s="12"/>
      <c r="L71" s="20">
        <f t="shared" si="18"/>
        <v>349</v>
      </c>
      <c r="M71" s="14">
        <f t="shared" si="3"/>
        <v>788</v>
      </c>
      <c r="N71" s="21" t="s">
        <v>37</v>
      </c>
      <c r="O71" s="30">
        <f t="shared" si="10"/>
        <v>7</v>
      </c>
      <c r="P71" s="35"/>
      <c r="Q71" s="32"/>
    </row>
    <row r="72" ht="22.5" customHeight="1">
      <c r="A72" s="8">
        <v>46065.0</v>
      </c>
      <c r="B72" s="9">
        <v>15.0</v>
      </c>
      <c r="C72" s="9">
        <f t="shared" si="15"/>
        <v>439</v>
      </c>
      <c r="D72" s="9">
        <v>0.0</v>
      </c>
      <c r="E72" s="9">
        <f t="shared" si="19"/>
        <v>349</v>
      </c>
      <c r="F72" s="9">
        <v>0.0</v>
      </c>
      <c r="G72" s="9">
        <v>0.0</v>
      </c>
      <c r="H72" s="9">
        <v>4.0</v>
      </c>
      <c r="I72" s="9">
        <v>0.0</v>
      </c>
      <c r="J72" s="11">
        <f t="shared" si="20"/>
        <v>454</v>
      </c>
      <c r="K72" s="12"/>
      <c r="L72" s="20">
        <f t="shared" si="18"/>
        <v>349</v>
      </c>
      <c r="M72" s="14">
        <f t="shared" si="3"/>
        <v>803</v>
      </c>
      <c r="N72" s="15"/>
      <c r="O72" s="30">
        <f t="shared" si="10"/>
        <v>-1</v>
      </c>
      <c r="P72" s="35"/>
      <c r="Q72" s="32"/>
    </row>
    <row r="73" ht="22.5" customHeight="1">
      <c r="A73" s="8">
        <v>46066.0</v>
      </c>
      <c r="B73" s="9">
        <v>14.0</v>
      </c>
      <c r="C73" s="9">
        <f t="shared" si="15"/>
        <v>454</v>
      </c>
      <c r="D73" s="36">
        <v>29.0</v>
      </c>
      <c r="E73" s="9">
        <f t="shared" si="19"/>
        <v>349</v>
      </c>
      <c r="F73" s="9">
        <v>0.0</v>
      </c>
      <c r="G73" s="9">
        <v>0.0</v>
      </c>
      <c r="H73" s="9">
        <v>4.0</v>
      </c>
      <c r="I73" s="9">
        <v>0.0</v>
      </c>
      <c r="J73" s="11">
        <f t="shared" si="20"/>
        <v>439</v>
      </c>
      <c r="K73" s="12"/>
      <c r="L73" s="20">
        <f t="shared" si="18"/>
        <v>378</v>
      </c>
      <c r="M73" s="14">
        <f t="shared" si="3"/>
        <v>817</v>
      </c>
      <c r="N73" s="21" t="s">
        <v>38</v>
      </c>
      <c r="O73" s="30">
        <f t="shared" si="10"/>
        <v>-2</v>
      </c>
      <c r="P73" s="35"/>
      <c r="Q73" s="32"/>
    </row>
    <row r="74" ht="22.5" customHeight="1">
      <c r="A74" s="45" t="s">
        <v>35</v>
      </c>
      <c r="B74" s="46">
        <f>SUM(B69:B73)</f>
        <v>95</v>
      </c>
      <c r="C74" s="46">
        <f t="shared" si="15"/>
        <v>439</v>
      </c>
      <c r="D74" s="46">
        <v>0.0</v>
      </c>
      <c r="E74" s="46">
        <f t="shared" si="19"/>
        <v>378</v>
      </c>
      <c r="F74" s="46">
        <v>0.0</v>
      </c>
      <c r="G74" s="46">
        <v>0.0</v>
      </c>
      <c r="H74" s="46">
        <v>4.0</v>
      </c>
      <c r="I74" s="46">
        <v>0.0</v>
      </c>
      <c r="J74" s="47">
        <f>J73</f>
        <v>439</v>
      </c>
      <c r="K74" s="47"/>
      <c r="L74" s="48">
        <f t="shared" si="18"/>
        <v>378</v>
      </c>
      <c r="M74" s="47">
        <f t="shared" si="3"/>
        <v>817</v>
      </c>
      <c r="N74" s="53" t="s">
        <v>39</v>
      </c>
      <c r="O74" s="46">
        <f t="shared" si="10"/>
        <v>79</v>
      </c>
      <c r="P74" s="50"/>
      <c r="Q74" s="51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</row>
    <row r="75" ht="22.5" customHeight="1">
      <c r="A75" s="8">
        <v>46069.0</v>
      </c>
      <c r="B75" s="9">
        <v>14.0</v>
      </c>
      <c r="C75" s="9">
        <f t="shared" si="15"/>
        <v>439</v>
      </c>
      <c r="D75" s="9">
        <v>0.0</v>
      </c>
      <c r="E75" s="9">
        <f t="shared" si="19"/>
        <v>378</v>
      </c>
      <c r="F75" s="9">
        <v>0.0</v>
      </c>
      <c r="G75" s="9">
        <v>0.0</v>
      </c>
      <c r="H75" s="9">
        <v>4.0</v>
      </c>
      <c r="I75" s="9">
        <v>0.0</v>
      </c>
      <c r="J75" s="11">
        <f>J73+B75-D75-G75-F75</f>
        <v>453</v>
      </c>
      <c r="K75" s="12"/>
      <c r="L75" s="20">
        <f t="shared" si="18"/>
        <v>378</v>
      </c>
      <c r="M75" s="14">
        <f t="shared" si="3"/>
        <v>831</v>
      </c>
      <c r="N75" s="15"/>
      <c r="O75" s="30">
        <f t="shared" si="10"/>
        <v>-2</v>
      </c>
      <c r="P75" s="35"/>
      <c r="Q75" s="32"/>
    </row>
    <row r="76" ht="22.5" customHeight="1">
      <c r="A76" s="8">
        <v>46070.0</v>
      </c>
      <c r="B76" s="9">
        <v>0.0</v>
      </c>
      <c r="C76" s="9">
        <f t="shared" si="15"/>
        <v>453</v>
      </c>
      <c r="D76" s="9">
        <v>0.0</v>
      </c>
      <c r="E76" s="9">
        <f t="shared" si="19"/>
        <v>378</v>
      </c>
      <c r="F76" s="9">
        <v>0.0</v>
      </c>
      <c r="G76" s="9">
        <v>0.0</v>
      </c>
      <c r="H76" s="9">
        <v>4.0</v>
      </c>
      <c r="I76" s="9">
        <v>0.0</v>
      </c>
      <c r="J76" s="11">
        <f t="shared" ref="J76:J79" si="21">J75+B76-D76-G76-F76</f>
        <v>453</v>
      </c>
      <c r="K76" s="12"/>
      <c r="L76" s="20">
        <f t="shared" si="18"/>
        <v>378</v>
      </c>
      <c r="M76" s="14">
        <f t="shared" si="3"/>
        <v>831</v>
      </c>
      <c r="N76" s="6" t="s">
        <v>40</v>
      </c>
      <c r="O76" s="30">
        <f t="shared" si="10"/>
        <v>-16</v>
      </c>
      <c r="P76" s="35"/>
      <c r="Q76" s="32"/>
    </row>
    <row r="77" ht="22.5" customHeight="1">
      <c r="A77" s="8">
        <v>46071.0</v>
      </c>
      <c r="B77" s="9">
        <v>14.0</v>
      </c>
      <c r="C77" s="9">
        <f t="shared" si="15"/>
        <v>453</v>
      </c>
      <c r="D77" s="36">
        <v>29.0</v>
      </c>
      <c r="E77" s="9">
        <f t="shared" si="19"/>
        <v>378</v>
      </c>
      <c r="F77" s="9">
        <v>0.0</v>
      </c>
      <c r="G77" s="9">
        <v>0.0</v>
      </c>
      <c r="H77" s="9">
        <v>4.0</v>
      </c>
      <c r="I77" s="9">
        <v>0.0</v>
      </c>
      <c r="J77" s="11">
        <f t="shared" si="21"/>
        <v>438</v>
      </c>
      <c r="K77" s="12"/>
      <c r="L77" s="20">
        <f t="shared" si="18"/>
        <v>407</v>
      </c>
      <c r="M77" s="14">
        <f t="shared" si="3"/>
        <v>845</v>
      </c>
      <c r="N77" s="6"/>
      <c r="O77" s="30">
        <f t="shared" si="10"/>
        <v>-2</v>
      </c>
      <c r="P77" s="35"/>
      <c r="Q77" s="32"/>
    </row>
    <row r="78" ht="22.5" customHeight="1">
      <c r="A78" s="8">
        <v>46072.0</v>
      </c>
      <c r="B78" s="9">
        <v>10.0</v>
      </c>
      <c r="C78" s="9">
        <f t="shared" si="15"/>
        <v>438</v>
      </c>
      <c r="D78" s="9">
        <v>0.0</v>
      </c>
      <c r="E78" s="9">
        <f t="shared" si="19"/>
        <v>407</v>
      </c>
      <c r="F78" s="9">
        <v>0.0</v>
      </c>
      <c r="G78" s="9">
        <v>0.0</v>
      </c>
      <c r="H78" s="9">
        <v>4.0</v>
      </c>
      <c r="I78" s="9">
        <v>0.0</v>
      </c>
      <c r="J78" s="11">
        <f t="shared" si="21"/>
        <v>448</v>
      </c>
      <c r="K78" s="12"/>
      <c r="L78" s="20">
        <f t="shared" si="18"/>
        <v>407</v>
      </c>
      <c r="M78" s="14">
        <f t="shared" si="3"/>
        <v>855</v>
      </c>
      <c r="N78" s="6" t="s">
        <v>41</v>
      </c>
      <c r="O78" s="54">
        <f t="shared" ref="O78:O80" si="22">A78-16</f>
        <v>46056</v>
      </c>
      <c r="P78" s="35"/>
      <c r="Q78" s="32"/>
    </row>
    <row r="79" ht="22.5" customHeight="1">
      <c r="A79" s="8">
        <v>46073.0</v>
      </c>
      <c r="B79" s="9">
        <v>0.0</v>
      </c>
      <c r="C79" s="9">
        <f t="shared" si="15"/>
        <v>448</v>
      </c>
      <c r="D79" s="9">
        <v>0.0</v>
      </c>
      <c r="E79" s="9">
        <f t="shared" si="19"/>
        <v>407</v>
      </c>
      <c r="F79" s="9">
        <v>0.0</v>
      </c>
      <c r="G79" s="9">
        <v>0.0</v>
      </c>
      <c r="H79" s="9">
        <v>4.0</v>
      </c>
      <c r="I79" s="9">
        <v>0.0</v>
      </c>
      <c r="J79" s="11">
        <f t="shared" si="21"/>
        <v>448</v>
      </c>
      <c r="K79" s="12"/>
      <c r="L79" s="20">
        <f t="shared" si="18"/>
        <v>407</v>
      </c>
      <c r="M79" s="12">
        <f t="shared" si="3"/>
        <v>855</v>
      </c>
      <c r="N79" s="55" t="s">
        <v>41</v>
      </c>
      <c r="O79" s="27">
        <f t="shared" si="22"/>
        <v>46057</v>
      </c>
      <c r="P79" s="35"/>
      <c r="Q79" s="32"/>
    </row>
    <row r="80" ht="22.5" customHeight="1">
      <c r="A80" s="45" t="s">
        <v>42</v>
      </c>
      <c r="B80" s="46">
        <f>SUM(B75:B79)</f>
        <v>38</v>
      </c>
      <c r="C80" s="46">
        <f t="shared" si="15"/>
        <v>448</v>
      </c>
      <c r="D80" s="46"/>
      <c r="E80" s="46">
        <f t="shared" si="19"/>
        <v>407</v>
      </c>
      <c r="F80" s="46">
        <v>0.0</v>
      </c>
      <c r="G80" s="46">
        <v>0.0</v>
      </c>
      <c r="H80" s="46">
        <v>4.0</v>
      </c>
      <c r="I80" s="46">
        <v>0.0</v>
      </c>
      <c r="J80" s="24">
        <f>J79</f>
        <v>448</v>
      </c>
      <c r="K80" s="47"/>
      <c r="L80" s="56">
        <f t="shared" si="18"/>
        <v>407</v>
      </c>
      <c r="M80" s="24">
        <f t="shared" si="3"/>
        <v>855</v>
      </c>
      <c r="N80" s="53"/>
      <c r="O80" s="57" t="str">
        <f t="shared" si="22"/>
        <v>#VALUE!</v>
      </c>
      <c r="P80" s="58"/>
      <c r="Q80" s="59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</row>
    <row r="81" ht="22.5" customHeight="1">
      <c r="A81" s="27">
        <v>46076.0</v>
      </c>
      <c r="B81" s="10">
        <v>15.0</v>
      </c>
      <c r="C81" s="10">
        <f t="shared" si="15"/>
        <v>448</v>
      </c>
      <c r="D81" s="36">
        <v>29.0</v>
      </c>
      <c r="E81" s="10">
        <f t="shared" si="19"/>
        <v>407</v>
      </c>
      <c r="F81" s="10">
        <v>0.0</v>
      </c>
      <c r="G81" s="10">
        <v>0.0</v>
      </c>
      <c r="H81" s="10">
        <v>0.0</v>
      </c>
      <c r="I81" s="10">
        <v>0.0</v>
      </c>
      <c r="J81" s="11">
        <f>J79+B81-D81-G81-F81</f>
        <v>434</v>
      </c>
      <c r="K81" s="12"/>
      <c r="L81" s="20">
        <f t="shared" si="18"/>
        <v>436</v>
      </c>
      <c r="M81" s="12">
        <f t="shared" si="3"/>
        <v>870</v>
      </c>
      <c r="N81" s="61"/>
      <c r="O81" s="10">
        <f t="shared" ref="O81:O86" si="23">B81-16</f>
        <v>-1</v>
      </c>
      <c r="P81" s="35"/>
      <c r="Q81" s="32"/>
    </row>
    <row r="82" ht="22.5" customHeight="1">
      <c r="A82" s="8">
        <v>46077.0</v>
      </c>
      <c r="B82" s="9"/>
      <c r="C82" s="10">
        <f t="shared" si="15"/>
        <v>434</v>
      </c>
      <c r="D82" s="9"/>
      <c r="E82" s="10">
        <f t="shared" si="19"/>
        <v>436</v>
      </c>
      <c r="F82" s="9"/>
      <c r="G82" s="9"/>
      <c r="H82" s="9"/>
      <c r="I82" s="9"/>
      <c r="J82" s="11">
        <f t="shared" ref="J82:J86" si="24">J81+B82-D82-G82-F82</f>
        <v>434</v>
      </c>
      <c r="K82" s="12"/>
      <c r="L82" s="20">
        <f t="shared" si="18"/>
        <v>436</v>
      </c>
      <c r="M82" s="14">
        <f t="shared" si="3"/>
        <v>870</v>
      </c>
      <c r="N82" s="15"/>
      <c r="O82" s="30">
        <f t="shared" si="23"/>
        <v>-16</v>
      </c>
      <c r="P82" s="35"/>
      <c r="Q82" s="32"/>
    </row>
    <row r="83" ht="22.5" customHeight="1">
      <c r="A83" s="8">
        <v>46078.0</v>
      </c>
      <c r="B83" s="9"/>
      <c r="C83" s="10">
        <f t="shared" si="15"/>
        <v>434</v>
      </c>
      <c r="D83" s="9"/>
      <c r="E83" s="10">
        <f t="shared" si="19"/>
        <v>436</v>
      </c>
      <c r="F83" s="9"/>
      <c r="G83" s="9"/>
      <c r="H83" s="9"/>
      <c r="I83" s="9"/>
      <c r="J83" s="11">
        <f t="shared" si="24"/>
        <v>434</v>
      </c>
      <c r="K83" s="12"/>
      <c r="L83" s="20">
        <f t="shared" si="18"/>
        <v>436</v>
      </c>
      <c r="M83" s="14">
        <f t="shared" si="3"/>
        <v>870</v>
      </c>
      <c r="N83" s="15"/>
      <c r="O83" s="30">
        <f t="shared" si="23"/>
        <v>-16</v>
      </c>
      <c r="P83" s="35"/>
      <c r="Q83" s="32"/>
    </row>
    <row r="84" ht="22.5" customHeight="1">
      <c r="A84" s="8">
        <v>46079.0</v>
      </c>
      <c r="B84" s="9"/>
      <c r="C84" s="10">
        <f t="shared" si="15"/>
        <v>434</v>
      </c>
      <c r="D84" s="9"/>
      <c r="E84" s="10">
        <f t="shared" si="19"/>
        <v>436</v>
      </c>
      <c r="F84" s="9"/>
      <c r="G84" s="9"/>
      <c r="H84" s="9"/>
      <c r="I84" s="9"/>
      <c r="J84" s="11">
        <f t="shared" si="24"/>
        <v>434</v>
      </c>
      <c r="K84" s="12"/>
      <c r="L84" s="20">
        <f t="shared" si="18"/>
        <v>436</v>
      </c>
      <c r="M84" s="14">
        <f t="shared" si="3"/>
        <v>870</v>
      </c>
      <c r="N84" s="15"/>
      <c r="O84" s="30">
        <f t="shared" si="23"/>
        <v>-16</v>
      </c>
      <c r="P84" s="35"/>
      <c r="Q84" s="32"/>
    </row>
    <row r="85" ht="22.5" customHeight="1">
      <c r="A85" s="8">
        <v>46080.0</v>
      </c>
      <c r="B85" s="9"/>
      <c r="C85" s="10">
        <f t="shared" si="15"/>
        <v>434</v>
      </c>
      <c r="D85" s="9"/>
      <c r="E85" s="10">
        <f t="shared" si="19"/>
        <v>436</v>
      </c>
      <c r="F85" s="9"/>
      <c r="G85" s="9"/>
      <c r="H85" s="9"/>
      <c r="I85" s="9"/>
      <c r="J85" s="11">
        <f t="shared" si="24"/>
        <v>434</v>
      </c>
      <c r="K85" s="12"/>
      <c r="L85" s="20">
        <f t="shared" si="18"/>
        <v>436</v>
      </c>
      <c r="M85" s="14">
        <f t="shared" si="3"/>
        <v>870</v>
      </c>
      <c r="N85" s="15"/>
      <c r="O85" s="30">
        <f t="shared" si="23"/>
        <v>-16</v>
      </c>
      <c r="P85" s="35"/>
      <c r="Q85" s="32"/>
    </row>
    <row r="86" ht="22.5" customHeight="1">
      <c r="A86" s="8"/>
      <c r="B86" s="9"/>
      <c r="C86" s="10">
        <f t="shared" si="15"/>
        <v>434</v>
      </c>
      <c r="D86" s="9"/>
      <c r="E86" s="10">
        <f t="shared" si="19"/>
        <v>436</v>
      </c>
      <c r="F86" s="9"/>
      <c r="G86" s="9"/>
      <c r="H86" s="9"/>
      <c r="I86" s="9"/>
      <c r="J86" s="11">
        <f t="shared" si="24"/>
        <v>434</v>
      </c>
      <c r="K86" s="12"/>
      <c r="L86" s="20">
        <f t="shared" si="18"/>
        <v>436</v>
      </c>
      <c r="M86" s="14">
        <f t="shared" si="3"/>
        <v>870</v>
      </c>
      <c r="N86" s="15"/>
      <c r="O86" s="30">
        <f t="shared" si="23"/>
        <v>-16</v>
      </c>
      <c r="P86" s="35"/>
      <c r="Q86" s="32"/>
    </row>
  </sheetData>
  <mergeCells count="5">
    <mergeCell ref="P2:P12"/>
    <mergeCell ref="P14:P18"/>
    <mergeCell ref="P19:P23"/>
    <mergeCell ref="P24:P28"/>
    <mergeCell ref="P29:P33"/>
  </mergeCells>
  <dataValidations>
    <dataValidation type="custom" allowBlank="1" showDropDown="1" sqref="A2:A86">
      <formula1>OR(NOT(ISERROR(DATEVALUE(A2))), AND(ISNUMBER(A2), LEFT(CELL("format", A2))="D"))</formula1>
    </dataValidation>
    <dataValidation type="custom" allowBlank="1" showDropDown="1" sqref="B2:E86 J2:J86 L2:L86">
      <formula1>AND(ISNUMBER(B2),(NOT(OR(NOT(ISERROR(DATEVALUE(B2))), AND(ISNUMBER(B2), LEFT(CELL("format", B2))="D")))))</formula1>
    </dataValidation>
    <dataValidation type="custom" allowBlank="1" showDropDown="1" sqref="I2:I86">
      <formula1>AND(ISNUMBER(I2),(NOT(OR(NOT(ISERROR(DATEVALUE(I2))), AND(ISNUMBER(I2), LEFT(CELL("format", I2))="D")))))</formula1>
    </dataValidation>
  </dataValidations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6" width="12.63"/>
    <col customWidth="1" min="7" max="7" width="23.5"/>
    <col customWidth="1" min="8" max="8" width="26.63"/>
  </cols>
  <sheetData>
    <row r="1">
      <c r="A1" s="62" t="s">
        <v>43</v>
      </c>
      <c r="B1" s="63" t="s">
        <v>44</v>
      </c>
      <c r="C1" s="64"/>
      <c r="D1" s="64"/>
      <c r="E1" s="64"/>
      <c r="F1" s="65"/>
      <c r="G1" s="62" t="s">
        <v>45</v>
      </c>
      <c r="H1" s="62" t="s">
        <v>46</v>
      </c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>
      <c r="A2" s="67"/>
      <c r="B2" s="68" t="s">
        <v>47</v>
      </c>
      <c r="C2" s="68" t="s">
        <v>48</v>
      </c>
      <c r="D2" s="68" t="s">
        <v>49</v>
      </c>
      <c r="E2" s="68" t="s">
        <v>50</v>
      </c>
      <c r="F2" s="68" t="s">
        <v>51</v>
      </c>
      <c r="G2" s="67"/>
      <c r="H2" s="67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>
      <c r="A3" s="69" t="s">
        <v>52</v>
      </c>
      <c r="B3" s="69" t="s">
        <v>53</v>
      </c>
      <c r="C3" s="69" t="s">
        <v>54</v>
      </c>
      <c r="D3" s="69" t="s">
        <v>55</v>
      </c>
      <c r="E3" s="69" t="s">
        <v>56</v>
      </c>
      <c r="F3" s="69" t="s">
        <v>57</v>
      </c>
      <c r="G3" s="69" t="s">
        <v>58</v>
      </c>
      <c r="H3" s="70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>
      <c r="A4" s="71" t="s">
        <v>59</v>
      </c>
      <c r="B4" s="69" t="s">
        <v>60</v>
      </c>
      <c r="C4" s="69" t="s">
        <v>61</v>
      </c>
      <c r="D4" s="69" t="s">
        <v>62</v>
      </c>
      <c r="E4" s="69" t="s">
        <v>63</v>
      </c>
      <c r="F4" s="69" t="s">
        <v>64</v>
      </c>
      <c r="G4" s="69" t="s">
        <v>65</v>
      </c>
      <c r="H4" s="70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>
      <c r="A5" s="71" t="s">
        <v>66</v>
      </c>
      <c r="B5" s="69" t="s">
        <v>62</v>
      </c>
      <c r="C5" s="69" t="s">
        <v>63</v>
      </c>
      <c r="D5" s="69" t="s">
        <v>64</v>
      </c>
      <c r="E5" s="69" t="s">
        <v>60</v>
      </c>
      <c r="F5" s="69" t="s">
        <v>61</v>
      </c>
      <c r="G5" s="71" t="s">
        <v>67</v>
      </c>
      <c r="H5" s="70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>
      <c r="A8" s="69" t="s">
        <v>52</v>
      </c>
      <c r="B8" s="71" t="s">
        <v>68</v>
      </c>
      <c r="C8" s="71" t="s">
        <v>54</v>
      </c>
      <c r="D8" s="71" t="s">
        <v>55</v>
      </c>
      <c r="E8" s="71" t="s">
        <v>56</v>
      </c>
      <c r="F8" s="72" t="s">
        <v>69</v>
      </c>
      <c r="G8" s="73" t="s">
        <v>70</v>
      </c>
      <c r="H8" s="70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>
      <c r="A9" s="71" t="s">
        <v>59</v>
      </c>
      <c r="B9" s="72" t="s">
        <v>71</v>
      </c>
      <c r="C9" s="72" t="s">
        <v>61</v>
      </c>
      <c r="D9" s="72" t="s">
        <v>72</v>
      </c>
      <c r="E9" s="72" t="s">
        <v>63</v>
      </c>
      <c r="F9" s="72" t="s">
        <v>69</v>
      </c>
      <c r="G9" s="73" t="s">
        <v>73</v>
      </c>
      <c r="H9" s="70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>
      <c r="A10" s="71" t="s">
        <v>74</v>
      </c>
      <c r="B10" s="72" t="s">
        <v>75</v>
      </c>
      <c r="C10" s="72" t="s">
        <v>63</v>
      </c>
      <c r="D10" s="72" t="s">
        <v>64</v>
      </c>
      <c r="E10" s="72" t="s">
        <v>60</v>
      </c>
      <c r="F10" s="72" t="s">
        <v>69</v>
      </c>
      <c r="G10" s="73" t="s">
        <v>76</v>
      </c>
      <c r="H10" s="73" t="s">
        <v>77</v>
      </c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>
      <c r="A17" s="66"/>
      <c r="B17" s="66"/>
      <c r="C17" s="66"/>
      <c r="D17" s="74" t="s">
        <v>78</v>
      </c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  <row r="1001">
      <c r="A1001" s="66"/>
      <c r="B1001" s="66"/>
      <c r="C1001" s="66"/>
      <c r="D1001" s="66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66"/>
      <c r="P1001" s="66"/>
      <c r="Q1001" s="66"/>
      <c r="R1001" s="66"/>
      <c r="S1001" s="66"/>
      <c r="T1001" s="66"/>
      <c r="U1001" s="66"/>
      <c r="V1001" s="66"/>
      <c r="W1001" s="66"/>
      <c r="X1001" s="66"/>
      <c r="Y1001" s="66"/>
      <c r="Z1001" s="66"/>
    </row>
  </sheetData>
  <mergeCells count="4">
    <mergeCell ref="A1:A2"/>
    <mergeCell ref="B1:F1"/>
    <mergeCell ref="G1:G2"/>
    <mergeCell ref="H1:H2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7.25"/>
    <col customWidth="1" min="2" max="2" width="15.13"/>
    <col customWidth="1" min="3" max="5" width="13.5"/>
    <col customWidth="1" min="6" max="6" width="16.88"/>
    <col customWidth="1" min="7" max="7" width="17.0"/>
    <col customWidth="1" min="8" max="8" width="20.13"/>
    <col customWidth="1" hidden="1" min="9" max="9" width="17.75"/>
    <col customWidth="1" min="10" max="10" width="15.63"/>
    <col customWidth="1" hidden="1" min="11" max="11" width="16.88"/>
    <col customWidth="1" min="12" max="12" width="35.5"/>
    <col hidden="1" min="13" max="14" width="12.63"/>
  </cols>
  <sheetData>
    <row r="1" ht="22.5" customHeight="1">
      <c r="A1" s="75" t="s">
        <v>79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80</v>
      </c>
      <c r="G1" s="76" t="s">
        <v>81</v>
      </c>
      <c r="H1" s="2" t="s">
        <v>9</v>
      </c>
      <c r="I1" s="3" t="s">
        <v>10</v>
      </c>
      <c r="J1" s="4" t="s">
        <v>11</v>
      </c>
      <c r="K1" s="5" t="s">
        <v>12</v>
      </c>
      <c r="L1" s="77" t="s">
        <v>13</v>
      </c>
      <c r="M1" s="7" t="s">
        <v>14</v>
      </c>
    </row>
    <row r="2" ht="22.5" hidden="1" customHeight="1">
      <c r="A2" s="78">
        <v>46034.0</v>
      </c>
      <c r="B2" s="79">
        <v>0.0</v>
      </c>
      <c r="C2" s="79">
        <v>0.0</v>
      </c>
      <c r="D2" s="79">
        <v>0.0</v>
      </c>
      <c r="E2" s="79">
        <v>0.0</v>
      </c>
      <c r="F2" s="79">
        <v>0.0</v>
      </c>
      <c r="G2" s="80"/>
      <c r="H2" s="81">
        <v>291.0</v>
      </c>
      <c r="I2" s="82"/>
      <c r="J2" s="79">
        <v>262.0</v>
      </c>
      <c r="K2" s="82">
        <f t="shared" ref="K2:K80" si="1">J2+H2</f>
        <v>553</v>
      </c>
      <c r="L2" s="83"/>
      <c r="M2" s="79">
        <f t="shared" ref="M2:M32" si="2">B2-16</f>
        <v>-16</v>
      </c>
      <c r="N2" s="84"/>
      <c r="O2" s="85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</row>
    <row r="3" ht="22.5" hidden="1" customHeight="1">
      <c r="A3" s="87">
        <v>46035.0</v>
      </c>
      <c r="B3" s="9">
        <v>14.0</v>
      </c>
      <c r="C3" s="36">
        <v>29.0</v>
      </c>
      <c r="D3" s="9">
        <v>0.0</v>
      </c>
      <c r="E3" s="9">
        <v>0.0</v>
      </c>
      <c r="F3" s="9">
        <v>0.0</v>
      </c>
      <c r="G3" s="88"/>
      <c r="H3" s="11">
        <f t="shared" ref="H3:H16" si="3">H2+B3-C3-E3-D3</f>
        <v>276</v>
      </c>
      <c r="I3" s="12"/>
      <c r="J3" s="20">
        <f t="shared" ref="J3:J16" si="4">J2+C3</f>
        <v>291</v>
      </c>
      <c r="K3" s="14">
        <f t="shared" si="1"/>
        <v>567</v>
      </c>
      <c r="L3" s="89" t="s">
        <v>30</v>
      </c>
      <c r="M3" s="30">
        <f t="shared" si="2"/>
        <v>-2</v>
      </c>
      <c r="N3" s="35"/>
      <c r="O3" s="32"/>
    </row>
    <row r="4" ht="22.5" hidden="1" customHeight="1">
      <c r="A4" s="87">
        <v>46036.0</v>
      </c>
      <c r="B4" s="9">
        <v>12.0</v>
      </c>
      <c r="C4" s="9">
        <v>0.0</v>
      </c>
      <c r="D4" s="9">
        <v>0.0</v>
      </c>
      <c r="E4" s="9">
        <v>0.0</v>
      </c>
      <c r="F4" s="9">
        <v>0.0</v>
      </c>
      <c r="G4" s="88"/>
      <c r="H4" s="11">
        <f t="shared" si="3"/>
        <v>288</v>
      </c>
      <c r="I4" s="12"/>
      <c r="J4" s="20">
        <f t="shared" si="4"/>
        <v>291</v>
      </c>
      <c r="K4" s="14">
        <f t="shared" si="1"/>
        <v>579</v>
      </c>
      <c r="L4" s="90"/>
      <c r="M4" s="30">
        <f t="shared" si="2"/>
        <v>-4</v>
      </c>
      <c r="N4" s="35"/>
      <c r="O4" s="32"/>
    </row>
    <row r="5" ht="22.5" hidden="1" customHeight="1">
      <c r="A5" s="87">
        <v>46037.0</v>
      </c>
      <c r="B5" s="9">
        <v>10.0</v>
      </c>
      <c r="C5" s="36">
        <v>29.0</v>
      </c>
      <c r="D5" s="9">
        <v>0.0</v>
      </c>
      <c r="E5" s="9">
        <v>0.0</v>
      </c>
      <c r="F5" s="9">
        <v>0.0</v>
      </c>
      <c r="G5" s="88"/>
      <c r="H5" s="11">
        <f t="shared" si="3"/>
        <v>269</v>
      </c>
      <c r="I5" s="12"/>
      <c r="J5" s="20">
        <f t="shared" si="4"/>
        <v>320</v>
      </c>
      <c r="K5" s="14">
        <f t="shared" si="1"/>
        <v>589</v>
      </c>
      <c r="L5" s="89" t="s">
        <v>30</v>
      </c>
      <c r="M5" s="30">
        <f t="shared" si="2"/>
        <v>-6</v>
      </c>
      <c r="N5" s="35"/>
      <c r="O5" s="32"/>
    </row>
    <row r="6" ht="22.5" hidden="1" customHeight="1">
      <c r="A6" s="87">
        <v>46038.0</v>
      </c>
      <c r="B6" s="9">
        <v>0.0</v>
      </c>
      <c r="C6" s="9">
        <v>0.0</v>
      </c>
      <c r="D6" s="9">
        <v>0.0</v>
      </c>
      <c r="E6" s="9">
        <v>0.0</v>
      </c>
      <c r="F6" s="9">
        <v>0.0</v>
      </c>
      <c r="G6" s="88"/>
      <c r="H6" s="11">
        <f t="shared" si="3"/>
        <v>269</v>
      </c>
      <c r="I6" s="12"/>
      <c r="J6" s="20">
        <f t="shared" si="4"/>
        <v>320</v>
      </c>
      <c r="K6" s="14">
        <f t="shared" si="1"/>
        <v>589</v>
      </c>
      <c r="L6" s="89" t="s">
        <v>31</v>
      </c>
      <c r="M6" s="30">
        <f t="shared" si="2"/>
        <v>-16</v>
      </c>
      <c r="N6" s="35"/>
      <c r="O6" s="32"/>
    </row>
    <row r="7" ht="22.5" hidden="1" customHeight="1">
      <c r="A7" s="78">
        <v>46041.0</v>
      </c>
      <c r="B7" s="79">
        <v>15.0</v>
      </c>
      <c r="C7" s="79">
        <v>0.0</v>
      </c>
      <c r="D7" s="79">
        <v>0.0</v>
      </c>
      <c r="E7" s="79">
        <v>0.0</v>
      </c>
      <c r="F7" s="79">
        <v>0.0</v>
      </c>
      <c r="G7" s="80"/>
      <c r="H7" s="82">
        <f t="shared" si="3"/>
        <v>284</v>
      </c>
      <c r="I7" s="82"/>
      <c r="J7" s="91">
        <f t="shared" si="4"/>
        <v>320</v>
      </c>
      <c r="K7" s="82">
        <f t="shared" si="1"/>
        <v>604</v>
      </c>
      <c r="L7" s="83"/>
      <c r="M7" s="79">
        <f t="shared" si="2"/>
        <v>-1</v>
      </c>
      <c r="N7" s="84"/>
      <c r="O7" s="85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</row>
    <row r="8" ht="22.5" hidden="1" customHeight="1">
      <c r="A8" s="87">
        <v>46042.0</v>
      </c>
      <c r="B8" s="9">
        <v>16.0</v>
      </c>
      <c r="C8" s="36">
        <v>29.0</v>
      </c>
      <c r="D8" s="9">
        <v>0.0</v>
      </c>
      <c r="E8" s="9">
        <v>0.0</v>
      </c>
      <c r="F8" s="9">
        <v>0.0</v>
      </c>
      <c r="G8" s="88"/>
      <c r="H8" s="11">
        <f t="shared" si="3"/>
        <v>271</v>
      </c>
      <c r="I8" s="12"/>
      <c r="J8" s="20">
        <f t="shared" si="4"/>
        <v>349</v>
      </c>
      <c r="K8" s="14">
        <f t="shared" si="1"/>
        <v>620</v>
      </c>
      <c r="L8" s="89" t="s">
        <v>32</v>
      </c>
      <c r="M8" s="30">
        <f t="shared" si="2"/>
        <v>0</v>
      </c>
      <c r="N8" s="35"/>
      <c r="O8" s="32"/>
    </row>
    <row r="9" ht="22.5" hidden="1" customHeight="1">
      <c r="A9" s="87">
        <v>46043.0</v>
      </c>
      <c r="B9" s="9">
        <v>3.0</v>
      </c>
      <c r="C9" s="9">
        <v>0.0</v>
      </c>
      <c r="D9" s="9">
        <v>0.0</v>
      </c>
      <c r="E9" s="9">
        <v>0.0</v>
      </c>
      <c r="F9" s="9">
        <v>0.0</v>
      </c>
      <c r="G9" s="88"/>
      <c r="H9" s="11">
        <f t="shared" si="3"/>
        <v>274</v>
      </c>
      <c r="I9" s="12"/>
      <c r="J9" s="20">
        <f t="shared" si="4"/>
        <v>349</v>
      </c>
      <c r="K9" s="14">
        <f t="shared" si="1"/>
        <v>623</v>
      </c>
      <c r="L9" s="89" t="s">
        <v>21</v>
      </c>
      <c r="M9" s="30">
        <f t="shared" si="2"/>
        <v>-13</v>
      </c>
      <c r="N9" s="35"/>
      <c r="O9" s="32"/>
    </row>
    <row r="10" ht="22.5" hidden="1" customHeight="1">
      <c r="A10" s="87">
        <v>46044.0</v>
      </c>
      <c r="B10" s="9">
        <v>3.0</v>
      </c>
      <c r="C10" s="9">
        <v>0.0</v>
      </c>
      <c r="D10" s="9">
        <v>0.0</v>
      </c>
      <c r="E10" s="9">
        <v>0.0</v>
      </c>
      <c r="F10" s="9">
        <v>0.0</v>
      </c>
      <c r="G10" s="88"/>
      <c r="H10" s="11">
        <f t="shared" si="3"/>
        <v>277</v>
      </c>
      <c r="I10" s="12"/>
      <c r="J10" s="20">
        <f t="shared" si="4"/>
        <v>349</v>
      </c>
      <c r="K10" s="14">
        <f t="shared" si="1"/>
        <v>626</v>
      </c>
      <c r="L10" s="90"/>
      <c r="M10" s="30">
        <f t="shared" si="2"/>
        <v>-13</v>
      </c>
      <c r="N10" s="35"/>
      <c r="O10" s="32"/>
    </row>
    <row r="11" ht="22.5" hidden="1" customHeight="1">
      <c r="A11" s="87">
        <v>46045.0</v>
      </c>
      <c r="B11" s="9">
        <v>5.0</v>
      </c>
      <c r="C11" s="9">
        <v>0.0</v>
      </c>
      <c r="D11" s="9">
        <v>0.0</v>
      </c>
      <c r="E11" s="9">
        <v>0.0</v>
      </c>
      <c r="F11" s="9">
        <v>0.0</v>
      </c>
      <c r="G11" s="88"/>
      <c r="H11" s="11">
        <f t="shared" si="3"/>
        <v>282</v>
      </c>
      <c r="I11" s="12"/>
      <c r="J11" s="20">
        <f t="shared" si="4"/>
        <v>349</v>
      </c>
      <c r="K11" s="14">
        <f t="shared" si="1"/>
        <v>631</v>
      </c>
      <c r="L11" s="90"/>
      <c r="M11" s="30">
        <f t="shared" si="2"/>
        <v>-11</v>
      </c>
      <c r="N11" s="35"/>
      <c r="O11" s="32"/>
    </row>
    <row r="12" ht="22.5" hidden="1" customHeight="1">
      <c r="A12" s="78">
        <v>46048.0</v>
      </c>
      <c r="B12" s="79">
        <v>13.0</v>
      </c>
      <c r="C12" s="79">
        <v>0.0</v>
      </c>
      <c r="D12" s="79">
        <v>0.0</v>
      </c>
      <c r="E12" s="79">
        <v>1.0</v>
      </c>
      <c r="F12" s="79">
        <v>0.0</v>
      </c>
      <c r="G12" s="80"/>
      <c r="H12" s="82">
        <f t="shared" si="3"/>
        <v>294</v>
      </c>
      <c r="I12" s="82"/>
      <c r="J12" s="91">
        <f t="shared" si="4"/>
        <v>349</v>
      </c>
      <c r="K12" s="82">
        <f t="shared" si="1"/>
        <v>643</v>
      </c>
      <c r="L12" s="83"/>
      <c r="M12" s="79">
        <f t="shared" si="2"/>
        <v>-3</v>
      </c>
      <c r="N12" s="84"/>
      <c r="O12" s="85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</row>
    <row r="13" ht="22.5" hidden="1" customHeight="1">
      <c r="A13" s="87">
        <v>46049.0</v>
      </c>
      <c r="B13" s="9">
        <v>16.0</v>
      </c>
      <c r="C13" s="9">
        <v>0.0</v>
      </c>
      <c r="D13" s="9">
        <v>0.0</v>
      </c>
      <c r="E13" s="9">
        <v>0.0</v>
      </c>
      <c r="F13" s="9">
        <v>0.0</v>
      </c>
      <c r="G13" s="88"/>
      <c r="H13" s="11">
        <f t="shared" si="3"/>
        <v>310</v>
      </c>
      <c r="I13" s="12"/>
      <c r="J13" s="20">
        <f t="shared" si="4"/>
        <v>349</v>
      </c>
      <c r="K13" s="14">
        <f t="shared" si="1"/>
        <v>659</v>
      </c>
      <c r="L13" s="90"/>
      <c r="M13" s="30">
        <f t="shared" si="2"/>
        <v>0</v>
      </c>
      <c r="N13" s="35"/>
      <c r="O13" s="32"/>
    </row>
    <row r="14" ht="22.5" hidden="1" customHeight="1">
      <c r="A14" s="87">
        <v>46050.0</v>
      </c>
      <c r="B14" s="9">
        <v>10.0</v>
      </c>
      <c r="C14" s="9">
        <v>0.0</v>
      </c>
      <c r="D14" s="9">
        <v>0.0</v>
      </c>
      <c r="E14" s="9">
        <v>0.0</v>
      </c>
      <c r="F14" s="9">
        <v>0.0</v>
      </c>
      <c r="G14" s="88"/>
      <c r="H14" s="11">
        <f t="shared" si="3"/>
        <v>320</v>
      </c>
      <c r="I14" s="12"/>
      <c r="J14" s="20">
        <f t="shared" si="4"/>
        <v>349</v>
      </c>
      <c r="K14" s="14">
        <f t="shared" si="1"/>
        <v>669</v>
      </c>
      <c r="L14" s="90"/>
      <c r="M14" s="30">
        <f t="shared" si="2"/>
        <v>-6</v>
      </c>
      <c r="N14" s="35"/>
      <c r="O14" s="32"/>
    </row>
    <row r="15" ht="22.5" hidden="1" customHeight="1">
      <c r="A15" s="87">
        <v>46051.0</v>
      </c>
      <c r="B15" s="9">
        <v>8.0</v>
      </c>
      <c r="C15" s="9">
        <v>0.0</v>
      </c>
      <c r="D15" s="9">
        <v>0.0</v>
      </c>
      <c r="E15" s="9">
        <v>0.0</v>
      </c>
      <c r="F15" s="9">
        <v>0.0</v>
      </c>
      <c r="G15" s="88"/>
      <c r="H15" s="11">
        <f t="shared" si="3"/>
        <v>328</v>
      </c>
      <c r="I15" s="12"/>
      <c r="J15" s="20">
        <f t="shared" si="4"/>
        <v>349</v>
      </c>
      <c r="K15" s="14">
        <f t="shared" si="1"/>
        <v>677</v>
      </c>
      <c r="L15" s="90"/>
      <c r="M15" s="30">
        <f t="shared" si="2"/>
        <v>-8</v>
      </c>
      <c r="N15" s="35"/>
      <c r="O15" s="32"/>
    </row>
    <row r="16" ht="22.5" hidden="1" customHeight="1">
      <c r="A16" s="87">
        <v>46052.0</v>
      </c>
      <c r="B16" s="9">
        <v>0.0</v>
      </c>
      <c r="C16" s="9">
        <v>0.0</v>
      </c>
      <c r="D16" s="9">
        <v>0.0</v>
      </c>
      <c r="E16" s="9">
        <v>0.0</v>
      </c>
      <c r="F16" s="9">
        <v>0.0</v>
      </c>
      <c r="G16" s="88"/>
      <c r="H16" s="11">
        <f t="shared" si="3"/>
        <v>328</v>
      </c>
      <c r="I16" s="12"/>
      <c r="J16" s="20">
        <f t="shared" si="4"/>
        <v>349</v>
      </c>
      <c r="K16" s="14">
        <f t="shared" si="1"/>
        <v>677</v>
      </c>
      <c r="L16" s="90"/>
      <c r="M16" s="30">
        <f t="shared" si="2"/>
        <v>-16</v>
      </c>
      <c r="N16" s="35"/>
      <c r="O16" s="32"/>
    </row>
    <row r="17" ht="22.5" hidden="1" customHeight="1">
      <c r="A17" s="92" t="s">
        <v>33</v>
      </c>
      <c r="B17" s="46">
        <f t="shared" ref="B17:F17" si="5">SUM(B2:B16)</f>
        <v>125</v>
      </c>
      <c r="C17" s="46">
        <f t="shared" si="5"/>
        <v>87</v>
      </c>
      <c r="D17" s="46">
        <f t="shared" si="5"/>
        <v>0</v>
      </c>
      <c r="E17" s="46">
        <f t="shared" si="5"/>
        <v>1</v>
      </c>
      <c r="F17" s="46">
        <f t="shared" si="5"/>
        <v>0</v>
      </c>
      <c r="G17" s="93"/>
      <c r="H17" s="47">
        <f>H16</f>
        <v>328</v>
      </c>
      <c r="I17" s="47"/>
      <c r="J17" s="48">
        <f>J16</f>
        <v>349</v>
      </c>
      <c r="K17" s="47">
        <f t="shared" si="1"/>
        <v>677</v>
      </c>
      <c r="L17" s="94"/>
      <c r="M17" s="46">
        <f t="shared" si="2"/>
        <v>109</v>
      </c>
      <c r="N17" s="50"/>
      <c r="O17" s="51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</row>
    <row r="18" ht="22.5" customHeight="1">
      <c r="A18" s="87">
        <v>46055.0</v>
      </c>
      <c r="B18" s="9">
        <v>12.0</v>
      </c>
      <c r="C18" s="9">
        <v>0.0</v>
      </c>
      <c r="D18" s="9">
        <v>0.0</v>
      </c>
      <c r="E18" s="9">
        <v>0.0</v>
      </c>
      <c r="F18" s="9">
        <v>0.0</v>
      </c>
      <c r="G18" s="88"/>
      <c r="H18" s="11">
        <f>H16+B18-C18-E18-D18</f>
        <v>340</v>
      </c>
      <c r="I18" s="12"/>
      <c r="J18" s="20">
        <f t="shared" ref="J18:J22" si="6">J17+C18</f>
        <v>349</v>
      </c>
      <c r="K18" s="14">
        <f t="shared" si="1"/>
        <v>689</v>
      </c>
      <c r="L18" s="90"/>
      <c r="M18" s="30">
        <f t="shared" si="2"/>
        <v>-4</v>
      </c>
      <c r="N18" s="35"/>
      <c r="O18" s="32"/>
    </row>
    <row r="19" ht="22.5" customHeight="1">
      <c r="A19" s="87">
        <v>46056.0</v>
      </c>
      <c r="B19" s="9">
        <v>15.0</v>
      </c>
      <c r="C19" s="9">
        <v>0.0</v>
      </c>
      <c r="D19" s="9">
        <v>0.0</v>
      </c>
      <c r="E19" s="9">
        <v>0.0</v>
      </c>
      <c r="F19" s="9">
        <v>0.0</v>
      </c>
      <c r="G19" s="88"/>
      <c r="H19" s="11">
        <f t="shared" ref="H19:H22" si="7">H18+B19-C19-E19-D19</f>
        <v>355</v>
      </c>
      <c r="I19" s="12"/>
      <c r="J19" s="20">
        <f t="shared" si="6"/>
        <v>349</v>
      </c>
      <c r="K19" s="14">
        <f t="shared" si="1"/>
        <v>704</v>
      </c>
      <c r="L19" s="90"/>
      <c r="M19" s="30">
        <f t="shared" si="2"/>
        <v>-1</v>
      </c>
      <c r="N19" s="35"/>
      <c r="O19" s="32"/>
    </row>
    <row r="20" ht="22.5" customHeight="1">
      <c r="A20" s="87">
        <v>46057.0</v>
      </c>
      <c r="B20" s="9">
        <v>15.0</v>
      </c>
      <c r="C20" s="9">
        <v>0.0</v>
      </c>
      <c r="D20" s="9">
        <v>0.0</v>
      </c>
      <c r="E20" s="9">
        <v>0.0</v>
      </c>
      <c r="F20" s="9">
        <v>0.0</v>
      </c>
      <c r="G20" s="88"/>
      <c r="H20" s="11">
        <f t="shared" si="7"/>
        <v>370</v>
      </c>
      <c r="I20" s="12"/>
      <c r="J20" s="20">
        <f t="shared" si="6"/>
        <v>349</v>
      </c>
      <c r="K20" s="14">
        <f t="shared" si="1"/>
        <v>719</v>
      </c>
      <c r="L20" s="90"/>
      <c r="M20" s="30">
        <f t="shared" si="2"/>
        <v>-1</v>
      </c>
      <c r="N20" s="35"/>
      <c r="O20" s="32"/>
    </row>
    <row r="21" ht="22.5" customHeight="1">
      <c r="A21" s="95">
        <v>46058.0</v>
      </c>
      <c r="B21" s="96">
        <v>4.0</v>
      </c>
      <c r="C21" s="96">
        <v>0.0</v>
      </c>
      <c r="D21" s="96">
        <v>0.0</v>
      </c>
      <c r="E21" s="96">
        <v>0.0</v>
      </c>
      <c r="F21" s="96">
        <v>0.0</v>
      </c>
      <c r="G21" s="97"/>
      <c r="H21" s="98">
        <f t="shared" si="7"/>
        <v>374</v>
      </c>
      <c r="I21" s="98"/>
      <c r="J21" s="99">
        <f t="shared" si="6"/>
        <v>349</v>
      </c>
      <c r="K21" s="98">
        <f t="shared" si="1"/>
        <v>723</v>
      </c>
      <c r="L21" s="100" t="s">
        <v>34</v>
      </c>
      <c r="M21" s="96">
        <f t="shared" si="2"/>
        <v>-12</v>
      </c>
      <c r="N21" s="101"/>
      <c r="O21" s="102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</row>
    <row r="22" ht="22.5" customHeight="1">
      <c r="A22" s="95">
        <v>46059.0</v>
      </c>
      <c r="B22" s="96">
        <v>0.0</v>
      </c>
      <c r="C22" s="96">
        <v>0.0</v>
      </c>
      <c r="D22" s="96">
        <v>0.0</v>
      </c>
      <c r="E22" s="96">
        <v>0.0</v>
      </c>
      <c r="F22" s="96">
        <v>0.0</v>
      </c>
      <c r="G22" s="97"/>
      <c r="H22" s="98">
        <f t="shared" si="7"/>
        <v>374</v>
      </c>
      <c r="I22" s="98"/>
      <c r="J22" s="99">
        <f t="shared" si="6"/>
        <v>349</v>
      </c>
      <c r="K22" s="98">
        <f t="shared" si="1"/>
        <v>723</v>
      </c>
      <c r="L22" s="100" t="s">
        <v>34</v>
      </c>
      <c r="M22" s="96">
        <f t="shared" si="2"/>
        <v>-16</v>
      </c>
      <c r="N22" s="101"/>
      <c r="O22" s="102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</row>
    <row r="23" ht="22.5" customHeight="1">
      <c r="A23" s="104" t="s">
        <v>35</v>
      </c>
      <c r="B23" s="105">
        <f t="shared" ref="B23:F23" si="8">SUM(B18:B22)</f>
        <v>46</v>
      </c>
      <c r="C23" s="105">
        <f t="shared" si="8"/>
        <v>0</v>
      </c>
      <c r="D23" s="105">
        <f t="shared" si="8"/>
        <v>0</v>
      </c>
      <c r="E23" s="105">
        <f t="shared" si="8"/>
        <v>0</v>
      </c>
      <c r="F23" s="105">
        <f t="shared" si="8"/>
        <v>0</v>
      </c>
      <c r="G23" s="106"/>
      <c r="H23" s="107">
        <f>H22</f>
        <v>374</v>
      </c>
      <c r="I23" s="107"/>
      <c r="J23" s="108">
        <f>J22</f>
        <v>349</v>
      </c>
      <c r="K23" s="107">
        <f t="shared" si="1"/>
        <v>723</v>
      </c>
      <c r="L23" s="109" t="s">
        <v>82</v>
      </c>
      <c r="M23" s="105">
        <f t="shared" si="2"/>
        <v>30</v>
      </c>
      <c r="N23" s="110"/>
      <c r="O23" s="111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</row>
    <row r="24" ht="22.5" customHeight="1">
      <c r="A24" s="87">
        <v>46062.0</v>
      </c>
      <c r="B24" s="9">
        <v>19.0</v>
      </c>
      <c r="C24" s="9">
        <v>0.0</v>
      </c>
      <c r="D24" s="9">
        <v>0.0</v>
      </c>
      <c r="E24" s="9">
        <v>0.0</v>
      </c>
      <c r="F24" s="9">
        <v>0.0</v>
      </c>
      <c r="G24" s="88"/>
      <c r="H24" s="11">
        <f>H22+B24-C24-E24-D24</f>
        <v>393</v>
      </c>
      <c r="I24" s="12"/>
      <c r="J24" s="20">
        <f t="shared" ref="J24:J28" si="9">C24+J23</f>
        <v>349</v>
      </c>
      <c r="K24" s="14">
        <f t="shared" si="1"/>
        <v>742</v>
      </c>
      <c r="L24" s="90"/>
      <c r="M24" s="30">
        <f t="shared" si="2"/>
        <v>3</v>
      </c>
      <c r="N24" s="35"/>
      <c r="O24" s="32"/>
    </row>
    <row r="25" ht="22.5" customHeight="1">
      <c r="A25" s="87">
        <v>46063.0</v>
      </c>
      <c r="B25" s="9">
        <v>24.0</v>
      </c>
      <c r="C25" s="9">
        <v>0.0</v>
      </c>
      <c r="D25" s="9">
        <v>0.0</v>
      </c>
      <c r="E25" s="9">
        <v>0.0</v>
      </c>
      <c r="F25" s="9">
        <v>0.0</v>
      </c>
      <c r="G25" s="88"/>
      <c r="H25" s="11">
        <f t="shared" ref="H25:H28" si="10">H24+B25-C25-E25-D25</f>
        <v>417</v>
      </c>
      <c r="I25" s="12"/>
      <c r="J25" s="20">
        <f t="shared" si="9"/>
        <v>349</v>
      </c>
      <c r="K25" s="14">
        <f t="shared" si="1"/>
        <v>766</v>
      </c>
      <c r="L25" s="90"/>
      <c r="M25" s="30">
        <f t="shared" si="2"/>
        <v>8</v>
      </c>
      <c r="N25" s="35"/>
      <c r="O25" s="32"/>
    </row>
    <row r="26" ht="22.5" customHeight="1">
      <c r="A26" s="87">
        <v>46064.0</v>
      </c>
      <c r="B26" s="9">
        <v>23.0</v>
      </c>
      <c r="C26" s="9">
        <v>0.0</v>
      </c>
      <c r="D26" s="9">
        <v>1.0</v>
      </c>
      <c r="E26" s="9">
        <v>0.0</v>
      </c>
      <c r="F26" s="9">
        <v>0.0</v>
      </c>
      <c r="G26" s="88"/>
      <c r="H26" s="11">
        <f t="shared" si="10"/>
        <v>439</v>
      </c>
      <c r="I26" s="12"/>
      <c r="J26" s="20">
        <f t="shared" si="9"/>
        <v>349</v>
      </c>
      <c r="K26" s="14">
        <f t="shared" si="1"/>
        <v>788</v>
      </c>
      <c r="L26" s="89" t="s">
        <v>37</v>
      </c>
      <c r="M26" s="30">
        <f t="shared" si="2"/>
        <v>7</v>
      </c>
      <c r="N26" s="35"/>
      <c r="O26" s="32"/>
    </row>
    <row r="27" ht="22.5" customHeight="1">
      <c r="A27" s="87">
        <v>46065.0</v>
      </c>
      <c r="B27" s="9">
        <v>15.0</v>
      </c>
      <c r="C27" s="9">
        <v>0.0</v>
      </c>
      <c r="D27" s="9">
        <v>0.0</v>
      </c>
      <c r="E27" s="9">
        <v>0.0</v>
      </c>
      <c r="F27" s="9">
        <v>0.0</v>
      </c>
      <c r="G27" s="88"/>
      <c r="H27" s="11">
        <f t="shared" si="10"/>
        <v>454</v>
      </c>
      <c r="I27" s="12"/>
      <c r="J27" s="20">
        <f t="shared" si="9"/>
        <v>349</v>
      </c>
      <c r="K27" s="14">
        <f t="shared" si="1"/>
        <v>803</v>
      </c>
      <c r="L27" s="90"/>
      <c r="M27" s="30">
        <f t="shared" si="2"/>
        <v>-1</v>
      </c>
      <c r="N27" s="35"/>
      <c r="O27" s="32"/>
    </row>
    <row r="28" ht="22.5" customHeight="1">
      <c r="A28" s="87">
        <v>46066.0</v>
      </c>
      <c r="B28" s="9">
        <v>14.0</v>
      </c>
      <c r="C28" s="36">
        <v>29.0</v>
      </c>
      <c r="D28" s="9">
        <v>0.0</v>
      </c>
      <c r="E28" s="9">
        <v>0.0</v>
      </c>
      <c r="F28" s="9">
        <v>0.0</v>
      </c>
      <c r="G28" s="88"/>
      <c r="H28" s="11">
        <f t="shared" si="10"/>
        <v>439</v>
      </c>
      <c r="I28" s="12"/>
      <c r="J28" s="20">
        <f t="shared" si="9"/>
        <v>378</v>
      </c>
      <c r="K28" s="14">
        <f t="shared" si="1"/>
        <v>817</v>
      </c>
      <c r="L28" s="89" t="s">
        <v>83</v>
      </c>
      <c r="M28" s="30">
        <f t="shared" si="2"/>
        <v>-2</v>
      </c>
      <c r="N28" s="35"/>
      <c r="O28" s="32"/>
    </row>
    <row r="29" ht="22.5" customHeight="1">
      <c r="A29" s="104" t="s">
        <v>35</v>
      </c>
      <c r="B29" s="105">
        <f t="shared" ref="B29:F29" si="11">SUM(B24:B28)</f>
        <v>95</v>
      </c>
      <c r="C29" s="105">
        <f t="shared" si="11"/>
        <v>29</v>
      </c>
      <c r="D29" s="105">
        <f t="shared" si="11"/>
        <v>1</v>
      </c>
      <c r="E29" s="105">
        <f t="shared" si="11"/>
        <v>0</v>
      </c>
      <c r="F29" s="105">
        <f t="shared" si="11"/>
        <v>0</v>
      </c>
      <c r="G29" s="106"/>
      <c r="H29" s="107">
        <f>H28</f>
        <v>439</v>
      </c>
      <c r="I29" s="107"/>
      <c r="J29" s="108">
        <f>J28</f>
        <v>378</v>
      </c>
      <c r="K29" s="107">
        <f t="shared" si="1"/>
        <v>817</v>
      </c>
      <c r="L29" s="113" t="s">
        <v>84</v>
      </c>
      <c r="M29" s="105">
        <f t="shared" si="2"/>
        <v>79</v>
      </c>
      <c r="N29" s="110"/>
      <c r="O29" s="111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</row>
    <row r="30" ht="22.5" customHeight="1">
      <c r="A30" s="87">
        <v>46069.0</v>
      </c>
      <c r="B30" s="9">
        <v>14.0</v>
      </c>
      <c r="C30" s="9">
        <v>0.0</v>
      </c>
      <c r="D30" s="9">
        <v>0.0</v>
      </c>
      <c r="E30" s="9">
        <v>0.0</v>
      </c>
      <c r="F30" s="9">
        <v>0.0</v>
      </c>
      <c r="G30" s="88"/>
      <c r="H30" s="11">
        <f>H28+B30-C30-E30-D30</f>
        <v>453</v>
      </c>
      <c r="I30" s="12"/>
      <c r="J30" s="20">
        <f t="shared" ref="J30:J34" si="12">J29+C30</f>
        <v>378</v>
      </c>
      <c r="K30" s="14">
        <f t="shared" si="1"/>
        <v>831</v>
      </c>
      <c r="L30" s="90"/>
      <c r="M30" s="30">
        <f t="shared" si="2"/>
        <v>-2</v>
      </c>
      <c r="N30" s="35"/>
      <c r="O30" s="32"/>
    </row>
    <row r="31" ht="22.5" customHeight="1">
      <c r="A31" s="95">
        <v>46070.0</v>
      </c>
      <c r="B31" s="96">
        <v>0.0</v>
      </c>
      <c r="C31" s="96">
        <v>0.0</v>
      </c>
      <c r="D31" s="96">
        <v>0.0</v>
      </c>
      <c r="E31" s="96">
        <v>0.0</v>
      </c>
      <c r="F31" s="96">
        <v>0.0</v>
      </c>
      <c r="G31" s="97"/>
      <c r="H31" s="98">
        <f t="shared" ref="H31:H34" si="13">H30+B31-C31-E31-D31</f>
        <v>453</v>
      </c>
      <c r="I31" s="98"/>
      <c r="J31" s="99">
        <f t="shared" si="12"/>
        <v>378</v>
      </c>
      <c r="K31" s="98">
        <f t="shared" si="1"/>
        <v>831</v>
      </c>
      <c r="L31" s="100" t="s">
        <v>40</v>
      </c>
      <c r="M31" s="96">
        <f t="shared" si="2"/>
        <v>-16</v>
      </c>
      <c r="N31" s="101"/>
      <c r="O31" s="102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</row>
    <row r="32" ht="22.5" customHeight="1">
      <c r="A32" s="87">
        <v>46071.0</v>
      </c>
      <c r="B32" s="9">
        <v>14.0</v>
      </c>
      <c r="C32" s="36">
        <v>29.0</v>
      </c>
      <c r="D32" s="9">
        <v>0.0</v>
      </c>
      <c r="E32" s="9">
        <v>0.0</v>
      </c>
      <c r="F32" s="9">
        <v>0.0</v>
      </c>
      <c r="G32" s="88"/>
      <c r="H32" s="11">
        <f t="shared" si="13"/>
        <v>438</v>
      </c>
      <c r="I32" s="12"/>
      <c r="J32" s="20">
        <f t="shared" si="12"/>
        <v>407</v>
      </c>
      <c r="K32" s="14">
        <f t="shared" si="1"/>
        <v>845</v>
      </c>
      <c r="L32" s="89" t="s">
        <v>85</v>
      </c>
      <c r="M32" s="30">
        <f t="shared" si="2"/>
        <v>-2</v>
      </c>
      <c r="N32" s="35"/>
      <c r="O32" s="32"/>
    </row>
    <row r="33" ht="22.5" customHeight="1">
      <c r="A33" s="95">
        <v>46072.0</v>
      </c>
      <c r="B33" s="96">
        <v>10.0</v>
      </c>
      <c r="C33" s="96">
        <v>0.0</v>
      </c>
      <c r="D33" s="96">
        <v>0.0</v>
      </c>
      <c r="E33" s="96">
        <v>0.0</v>
      </c>
      <c r="F33" s="96">
        <v>0.0</v>
      </c>
      <c r="G33" s="97"/>
      <c r="H33" s="98">
        <f t="shared" si="13"/>
        <v>448</v>
      </c>
      <c r="I33" s="98"/>
      <c r="J33" s="99">
        <f t="shared" si="12"/>
        <v>407</v>
      </c>
      <c r="K33" s="98">
        <f t="shared" si="1"/>
        <v>855</v>
      </c>
      <c r="L33" s="100" t="s">
        <v>41</v>
      </c>
      <c r="M33" s="114">
        <f t="shared" ref="M33:M35" si="14">A33-16</f>
        <v>46056</v>
      </c>
      <c r="N33" s="101"/>
      <c r="O33" s="102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</row>
    <row r="34" ht="22.5" customHeight="1">
      <c r="A34" s="95">
        <v>46073.0</v>
      </c>
      <c r="B34" s="96">
        <v>0.0</v>
      </c>
      <c r="C34" s="96">
        <v>0.0</v>
      </c>
      <c r="D34" s="96">
        <v>0.0</v>
      </c>
      <c r="E34" s="96">
        <v>0.0</v>
      </c>
      <c r="F34" s="96">
        <v>0.0</v>
      </c>
      <c r="G34" s="97"/>
      <c r="H34" s="98">
        <f t="shared" si="13"/>
        <v>448</v>
      </c>
      <c r="I34" s="98"/>
      <c r="J34" s="99">
        <f t="shared" si="12"/>
        <v>407</v>
      </c>
      <c r="K34" s="98">
        <f t="shared" si="1"/>
        <v>855</v>
      </c>
      <c r="L34" s="100" t="s">
        <v>41</v>
      </c>
      <c r="M34" s="114">
        <f t="shared" si="14"/>
        <v>46057</v>
      </c>
      <c r="N34" s="101"/>
      <c r="O34" s="102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</row>
    <row r="35" ht="22.5" customHeight="1">
      <c r="A35" s="104" t="s">
        <v>42</v>
      </c>
      <c r="B35" s="105">
        <f t="shared" ref="B35:E35" si="15">SUM(B30:B34)</f>
        <v>38</v>
      </c>
      <c r="C35" s="105">
        <f t="shared" si="15"/>
        <v>29</v>
      </c>
      <c r="D35" s="105">
        <f t="shared" si="15"/>
        <v>0</v>
      </c>
      <c r="E35" s="105">
        <f t="shared" si="15"/>
        <v>0</v>
      </c>
      <c r="F35" s="105">
        <v>0.0</v>
      </c>
      <c r="G35" s="106"/>
      <c r="H35" s="107">
        <f>H34</f>
        <v>448</v>
      </c>
      <c r="I35" s="107"/>
      <c r="J35" s="108">
        <f>J34</f>
        <v>407</v>
      </c>
      <c r="K35" s="107">
        <f t="shared" si="1"/>
        <v>855</v>
      </c>
      <c r="L35" s="109" t="s">
        <v>86</v>
      </c>
      <c r="M35" s="115" t="str">
        <f t="shared" si="14"/>
        <v>#VALUE!</v>
      </c>
      <c r="N35" s="110"/>
      <c r="O35" s="111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</row>
    <row r="36" ht="22.5" customHeight="1">
      <c r="A36" s="116">
        <v>46076.0</v>
      </c>
      <c r="B36" s="10">
        <v>15.0</v>
      </c>
      <c r="C36" s="36">
        <v>29.0</v>
      </c>
      <c r="D36" s="10">
        <v>3.0</v>
      </c>
      <c r="E36" s="10">
        <v>0.0</v>
      </c>
      <c r="F36" s="10">
        <v>0.0</v>
      </c>
      <c r="G36" s="117"/>
      <c r="H36" s="118">
        <f>H34+B36-C36-E36</f>
        <v>434</v>
      </c>
      <c r="I36" s="12"/>
      <c r="J36" s="20">
        <f t="shared" ref="J36:J40" si="16">J35+C36-F36</f>
        <v>436</v>
      </c>
      <c r="K36" s="12">
        <f t="shared" si="1"/>
        <v>870</v>
      </c>
      <c r="L36" s="119" t="s">
        <v>87</v>
      </c>
      <c r="M36" s="10">
        <f t="shared" ref="M36:M80" si="17">B36-16</f>
        <v>-1</v>
      </c>
      <c r="N36" s="35"/>
      <c r="O36" s="32"/>
    </row>
    <row r="37" ht="22.5" customHeight="1">
      <c r="A37" s="87">
        <v>46077.0</v>
      </c>
      <c r="B37" s="9">
        <v>18.0</v>
      </c>
      <c r="C37" s="9">
        <v>0.0</v>
      </c>
      <c r="D37" s="9">
        <v>0.0</v>
      </c>
      <c r="E37" s="9">
        <v>0.0</v>
      </c>
      <c r="F37" s="9">
        <v>0.0</v>
      </c>
      <c r="G37" s="88"/>
      <c r="H37" s="118">
        <f t="shared" ref="H37:H40" si="18">H36+B37-C37-E37-D37</f>
        <v>452</v>
      </c>
      <c r="I37" s="12"/>
      <c r="J37" s="20">
        <f t="shared" si="16"/>
        <v>436</v>
      </c>
      <c r="K37" s="14">
        <f t="shared" si="1"/>
        <v>888</v>
      </c>
      <c r="L37" s="90"/>
      <c r="M37" s="30">
        <f t="shared" si="17"/>
        <v>2</v>
      </c>
      <c r="N37" s="35"/>
      <c r="O37" s="32"/>
    </row>
    <row r="38" ht="22.5" customHeight="1">
      <c r="A38" s="95">
        <v>46078.0</v>
      </c>
      <c r="B38" s="96">
        <v>24.0</v>
      </c>
      <c r="C38" s="96">
        <v>0.0</v>
      </c>
      <c r="D38" s="96">
        <v>0.0</v>
      </c>
      <c r="E38" s="96">
        <v>0.0</v>
      </c>
      <c r="F38" s="96">
        <v>62.0</v>
      </c>
      <c r="G38" s="97"/>
      <c r="H38" s="98">
        <f t="shared" si="18"/>
        <v>476</v>
      </c>
      <c r="I38" s="98"/>
      <c r="J38" s="99">
        <f t="shared" si="16"/>
        <v>374</v>
      </c>
      <c r="K38" s="98">
        <f t="shared" si="1"/>
        <v>850</v>
      </c>
      <c r="L38" s="100" t="s">
        <v>88</v>
      </c>
      <c r="M38" s="96">
        <f t="shared" si="17"/>
        <v>8</v>
      </c>
      <c r="N38" s="101"/>
      <c r="O38" s="102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</row>
    <row r="39" ht="22.5" customHeight="1">
      <c r="A39" s="87">
        <v>46079.0</v>
      </c>
      <c r="B39" s="9">
        <v>8.0</v>
      </c>
      <c r="C39" s="9">
        <v>0.0</v>
      </c>
      <c r="D39" s="9">
        <v>0.0</v>
      </c>
      <c r="E39" s="9">
        <v>0.0</v>
      </c>
      <c r="F39" s="9">
        <v>0.0</v>
      </c>
      <c r="G39" s="88"/>
      <c r="H39" s="118">
        <f t="shared" si="18"/>
        <v>484</v>
      </c>
      <c r="I39" s="12"/>
      <c r="J39" s="20">
        <f t="shared" si="16"/>
        <v>374</v>
      </c>
      <c r="K39" s="14">
        <f t="shared" si="1"/>
        <v>858</v>
      </c>
      <c r="L39" s="89" t="s">
        <v>89</v>
      </c>
      <c r="M39" s="30">
        <f t="shared" si="17"/>
        <v>-8</v>
      </c>
      <c r="N39" s="35"/>
      <c r="O39" s="32"/>
    </row>
    <row r="40" ht="22.5" customHeight="1">
      <c r="A40" s="87">
        <v>46080.0</v>
      </c>
      <c r="B40" s="9">
        <v>19.0</v>
      </c>
      <c r="C40" s="36">
        <v>29.0</v>
      </c>
      <c r="D40" s="9">
        <v>0.0</v>
      </c>
      <c r="E40" s="9">
        <v>0.0</v>
      </c>
      <c r="F40" s="9">
        <v>0.0</v>
      </c>
      <c r="G40" s="88"/>
      <c r="H40" s="118">
        <f t="shared" si="18"/>
        <v>474</v>
      </c>
      <c r="I40" s="12"/>
      <c r="J40" s="20">
        <f t="shared" si="16"/>
        <v>403</v>
      </c>
      <c r="K40" s="14">
        <f t="shared" si="1"/>
        <v>877</v>
      </c>
      <c r="L40" s="89" t="s">
        <v>90</v>
      </c>
      <c r="M40" s="30">
        <f t="shared" si="17"/>
        <v>3</v>
      </c>
      <c r="N40" s="35"/>
      <c r="O40" s="32"/>
    </row>
    <row r="41" ht="22.5" customHeight="1">
      <c r="A41" s="104" t="s">
        <v>42</v>
      </c>
      <c r="B41" s="105">
        <f t="shared" ref="B41:F41" si="19">SUM(B36:B40)</f>
        <v>84</v>
      </c>
      <c r="C41" s="105">
        <f t="shared" si="19"/>
        <v>58</v>
      </c>
      <c r="D41" s="105">
        <f t="shared" si="19"/>
        <v>3</v>
      </c>
      <c r="E41" s="105">
        <f t="shared" si="19"/>
        <v>0</v>
      </c>
      <c r="F41" s="105">
        <f t="shared" si="19"/>
        <v>62</v>
      </c>
      <c r="G41" s="106"/>
      <c r="H41" s="120">
        <f t="shared" ref="H41:H42" si="21">H40</f>
        <v>474</v>
      </c>
      <c r="I41" s="107"/>
      <c r="J41" s="108">
        <f t="shared" ref="J41:J42" si="22">J40</f>
        <v>403</v>
      </c>
      <c r="K41" s="107">
        <f t="shared" si="1"/>
        <v>877</v>
      </c>
      <c r="L41" s="121"/>
      <c r="M41" s="105">
        <f t="shared" si="17"/>
        <v>68</v>
      </c>
      <c r="N41" s="110"/>
      <c r="O41" s="111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</row>
    <row r="42" ht="22.5" customHeight="1">
      <c r="A42" s="92" t="s">
        <v>91</v>
      </c>
      <c r="B42" s="46">
        <f t="shared" ref="B42:F42" si="20">SUM(B41+B35+B29+B23)</f>
        <v>263</v>
      </c>
      <c r="C42" s="46">
        <f t="shared" si="20"/>
        <v>116</v>
      </c>
      <c r="D42" s="46">
        <f t="shared" si="20"/>
        <v>4</v>
      </c>
      <c r="E42" s="46">
        <f t="shared" si="20"/>
        <v>0</v>
      </c>
      <c r="F42" s="46">
        <f t="shared" si="20"/>
        <v>62</v>
      </c>
      <c r="G42" s="93"/>
      <c r="H42" s="47">
        <f t="shared" si="21"/>
        <v>474</v>
      </c>
      <c r="I42" s="47"/>
      <c r="J42" s="48">
        <f t="shared" si="22"/>
        <v>403</v>
      </c>
      <c r="K42" s="47">
        <f t="shared" si="1"/>
        <v>877</v>
      </c>
      <c r="L42" s="122"/>
      <c r="M42" s="46">
        <f t="shared" si="17"/>
        <v>247</v>
      </c>
      <c r="N42" s="50"/>
      <c r="O42" s="51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</row>
    <row r="43" ht="22.5" customHeight="1">
      <c r="A43" s="87">
        <v>46083.0</v>
      </c>
      <c r="B43" s="9">
        <v>17.0</v>
      </c>
      <c r="C43" s="9">
        <v>0.0</v>
      </c>
      <c r="D43" s="9">
        <v>0.0</v>
      </c>
      <c r="E43" s="9">
        <v>0.0</v>
      </c>
      <c r="F43" s="9">
        <v>0.0</v>
      </c>
      <c r="G43" s="88"/>
      <c r="H43" s="11">
        <f t="shared" ref="H43:H47" si="23">H42+B43-C43-E43-D43</f>
        <v>491</v>
      </c>
      <c r="I43" s="12"/>
      <c r="J43" s="20">
        <f t="shared" ref="J43:J47" si="24">J42+C43-F43</f>
        <v>403</v>
      </c>
      <c r="K43" s="14">
        <f t="shared" si="1"/>
        <v>894</v>
      </c>
      <c r="L43" s="90"/>
      <c r="M43" s="30">
        <f t="shared" si="17"/>
        <v>1</v>
      </c>
      <c r="N43" s="35"/>
      <c r="O43" s="32"/>
    </row>
    <row r="44" ht="22.5" customHeight="1">
      <c r="A44" s="87">
        <v>46084.0</v>
      </c>
      <c r="B44" s="9">
        <v>20.0</v>
      </c>
      <c r="C44" s="9">
        <v>0.0</v>
      </c>
      <c r="D44" s="9">
        <v>0.0</v>
      </c>
      <c r="E44" s="9">
        <v>0.0</v>
      </c>
      <c r="F44" s="9">
        <v>0.0</v>
      </c>
      <c r="G44" s="88"/>
      <c r="H44" s="11">
        <f t="shared" si="23"/>
        <v>511</v>
      </c>
      <c r="I44" s="12"/>
      <c r="J44" s="20">
        <f t="shared" si="24"/>
        <v>403</v>
      </c>
      <c r="K44" s="14">
        <f t="shared" si="1"/>
        <v>914</v>
      </c>
      <c r="L44" s="90"/>
      <c r="M44" s="30">
        <f t="shared" si="17"/>
        <v>4</v>
      </c>
      <c r="N44" s="35"/>
      <c r="O44" s="32"/>
    </row>
    <row r="45" ht="22.5" customHeight="1">
      <c r="A45" s="87">
        <v>46085.0</v>
      </c>
      <c r="B45" s="9">
        <v>0.0</v>
      </c>
      <c r="C45" s="9">
        <v>0.0</v>
      </c>
      <c r="D45" s="9">
        <v>0.0</v>
      </c>
      <c r="E45" s="9">
        <v>0.0</v>
      </c>
      <c r="F45" s="9">
        <v>0.0</v>
      </c>
      <c r="G45" s="88"/>
      <c r="H45" s="11">
        <f t="shared" si="23"/>
        <v>511</v>
      </c>
      <c r="I45" s="12"/>
      <c r="J45" s="20">
        <f t="shared" si="24"/>
        <v>403</v>
      </c>
      <c r="K45" s="14">
        <f t="shared" si="1"/>
        <v>914</v>
      </c>
      <c r="L45" s="90"/>
      <c r="M45" s="30">
        <f t="shared" si="17"/>
        <v>-16</v>
      </c>
      <c r="N45" s="35"/>
      <c r="O45" s="32"/>
    </row>
    <row r="46" ht="22.5" customHeight="1">
      <c r="A46" s="87">
        <v>46086.0</v>
      </c>
      <c r="B46" s="9">
        <v>20.0</v>
      </c>
      <c r="C46" s="36">
        <v>29.0</v>
      </c>
      <c r="D46" s="9">
        <v>0.0</v>
      </c>
      <c r="E46" s="9">
        <v>0.0</v>
      </c>
      <c r="F46" s="9">
        <v>0.0</v>
      </c>
      <c r="G46" s="88"/>
      <c r="H46" s="11">
        <f t="shared" si="23"/>
        <v>502</v>
      </c>
      <c r="I46" s="12"/>
      <c r="J46" s="20">
        <f t="shared" si="24"/>
        <v>432</v>
      </c>
      <c r="K46" s="14">
        <f t="shared" si="1"/>
        <v>934</v>
      </c>
      <c r="L46" s="89" t="s">
        <v>92</v>
      </c>
      <c r="M46" s="30">
        <f t="shared" si="17"/>
        <v>4</v>
      </c>
      <c r="N46" s="35"/>
      <c r="O46" s="32"/>
    </row>
    <row r="47" ht="22.5" customHeight="1">
      <c r="A47" s="87">
        <v>46087.0</v>
      </c>
      <c r="B47" s="9">
        <v>8.0</v>
      </c>
      <c r="C47" s="9">
        <v>0.0</v>
      </c>
      <c r="D47" s="9">
        <v>0.0</v>
      </c>
      <c r="E47" s="9">
        <v>0.0</v>
      </c>
      <c r="F47" s="9">
        <v>0.0</v>
      </c>
      <c r="G47" s="88"/>
      <c r="H47" s="11">
        <f t="shared" si="23"/>
        <v>510</v>
      </c>
      <c r="I47" s="12"/>
      <c r="J47" s="20">
        <f t="shared" si="24"/>
        <v>432</v>
      </c>
      <c r="K47" s="14">
        <f t="shared" si="1"/>
        <v>942</v>
      </c>
      <c r="L47" s="90"/>
      <c r="M47" s="30">
        <f t="shared" si="17"/>
        <v>-8</v>
      </c>
      <c r="N47" s="35"/>
      <c r="O47" s="32"/>
    </row>
    <row r="48" ht="22.5" customHeight="1">
      <c r="A48" s="104" t="s">
        <v>42</v>
      </c>
      <c r="B48" s="105">
        <f t="shared" ref="B48:F48" si="25">SUM(B43:B47)</f>
        <v>65</v>
      </c>
      <c r="C48" s="105">
        <f t="shared" si="25"/>
        <v>29</v>
      </c>
      <c r="D48" s="105">
        <f t="shared" si="25"/>
        <v>0</v>
      </c>
      <c r="E48" s="105">
        <f t="shared" si="25"/>
        <v>0</v>
      </c>
      <c r="F48" s="105">
        <f t="shared" si="25"/>
        <v>0</v>
      </c>
      <c r="G48" s="106"/>
      <c r="H48" s="107">
        <f>H47</f>
        <v>510</v>
      </c>
      <c r="I48" s="107"/>
      <c r="J48" s="108">
        <f>J47</f>
        <v>432</v>
      </c>
      <c r="K48" s="107">
        <f t="shared" si="1"/>
        <v>942</v>
      </c>
      <c r="L48" s="123"/>
      <c r="M48" s="105">
        <f t="shared" si="17"/>
        <v>49</v>
      </c>
      <c r="N48" s="110"/>
      <c r="O48" s="111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</row>
    <row r="49" ht="22.5" customHeight="1">
      <c r="A49" s="87">
        <v>46090.0</v>
      </c>
      <c r="B49" s="9">
        <v>0.0</v>
      </c>
      <c r="C49" s="9">
        <v>0.0</v>
      </c>
      <c r="D49" s="9">
        <v>0.0</v>
      </c>
      <c r="E49" s="9">
        <v>0.0</v>
      </c>
      <c r="F49" s="9">
        <v>0.0</v>
      </c>
      <c r="G49" s="88"/>
      <c r="H49" s="11">
        <f t="shared" ref="H49:H53" si="26">H48+B49-C49-E49-D49</f>
        <v>510</v>
      </c>
      <c r="I49" s="12"/>
      <c r="J49" s="20">
        <f t="shared" ref="J49:J53" si="27">J48+C49-F49</f>
        <v>432</v>
      </c>
      <c r="K49" s="14">
        <f t="shared" si="1"/>
        <v>942</v>
      </c>
      <c r="L49" s="89" t="s">
        <v>93</v>
      </c>
      <c r="M49" s="30">
        <f t="shared" si="17"/>
        <v>-16</v>
      </c>
      <c r="N49" s="35"/>
      <c r="O49" s="32"/>
    </row>
    <row r="50" ht="22.5" customHeight="1">
      <c r="A50" s="87">
        <v>46091.0</v>
      </c>
      <c r="B50" s="9">
        <v>19.0</v>
      </c>
      <c r="C50" s="9">
        <v>0.0</v>
      </c>
      <c r="D50" s="9">
        <v>0.0</v>
      </c>
      <c r="E50" s="9">
        <v>0.0</v>
      </c>
      <c r="F50" s="9">
        <v>0.0</v>
      </c>
      <c r="G50" s="88"/>
      <c r="H50" s="11">
        <f t="shared" si="26"/>
        <v>529</v>
      </c>
      <c r="I50" s="12"/>
      <c r="J50" s="20">
        <f t="shared" si="27"/>
        <v>432</v>
      </c>
      <c r="K50" s="14">
        <f t="shared" si="1"/>
        <v>961</v>
      </c>
      <c r="L50" s="89" t="s">
        <v>94</v>
      </c>
      <c r="M50" s="30">
        <f t="shared" si="17"/>
        <v>3</v>
      </c>
      <c r="N50" s="35"/>
      <c r="O50" s="32"/>
    </row>
    <row r="51" ht="22.5" customHeight="1">
      <c r="A51" s="87">
        <v>46092.0</v>
      </c>
      <c r="B51" s="9">
        <v>19.0</v>
      </c>
      <c r="C51" s="9">
        <v>0.0</v>
      </c>
      <c r="D51" s="9">
        <v>0.0</v>
      </c>
      <c r="E51" s="9">
        <v>0.0</v>
      </c>
      <c r="F51" s="9">
        <v>0.0</v>
      </c>
      <c r="G51" s="88"/>
      <c r="H51" s="11">
        <f t="shared" si="26"/>
        <v>548</v>
      </c>
      <c r="I51" s="12"/>
      <c r="J51" s="20">
        <f t="shared" si="27"/>
        <v>432</v>
      </c>
      <c r="K51" s="14">
        <f t="shared" si="1"/>
        <v>980</v>
      </c>
      <c r="L51" s="89" t="s">
        <v>95</v>
      </c>
      <c r="M51" s="30">
        <f t="shared" si="17"/>
        <v>3</v>
      </c>
      <c r="N51" s="35"/>
      <c r="O51" s="32"/>
    </row>
    <row r="52" ht="22.5" customHeight="1">
      <c r="A52" s="87">
        <v>46093.0</v>
      </c>
      <c r="B52" s="9">
        <v>17.0</v>
      </c>
      <c r="C52" s="9">
        <v>0.0</v>
      </c>
      <c r="D52" s="9">
        <v>0.0</v>
      </c>
      <c r="E52" s="9">
        <v>0.0</v>
      </c>
      <c r="F52" s="9">
        <v>0.0</v>
      </c>
      <c r="G52" s="88"/>
      <c r="H52" s="11">
        <f t="shared" si="26"/>
        <v>565</v>
      </c>
      <c r="I52" s="12"/>
      <c r="J52" s="20">
        <f t="shared" si="27"/>
        <v>432</v>
      </c>
      <c r="K52" s="14">
        <f t="shared" si="1"/>
        <v>997</v>
      </c>
      <c r="L52" s="89" t="s">
        <v>96</v>
      </c>
      <c r="M52" s="30">
        <f t="shared" si="17"/>
        <v>1</v>
      </c>
      <c r="N52" s="35"/>
      <c r="O52" s="32"/>
    </row>
    <row r="53" ht="22.5" customHeight="1">
      <c r="A53" s="95">
        <v>46094.0</v>
      </c>
      <c r="B53" s="96">
        <v>0.0</v>
      </c>
      <c r="C53" s="96">
        <v>0.0</v>
      </c>
      <c r="D53" s="96">
        <v>0.0</v>
      </c>
      <c r="E53" s="96">
        <v>0.0</v>
      </c>
      <c r="F53" s="96">
        <v>0.0</v>
      </c>
      <c r="G53" s="97"/>
      <c r="H53" s="98">
        <f t="shared" si="26"/>
        <v>565</v>
      </c>
      <c r="I53" s="98"/>
      <c r="J53" s="99">
        <f t="shared" si="27"/>
        <v>432</v>
      </c>
      <c r="K53" s="98">
        <f t="shared" si="1"/>
        <v>997</v>
      </c>
      <c r="L53" s="100" t="s">
        <v>97</v>
      </c>
      <c r="M53" s="96">
        <f t="shared" si="17"/>
        <v>-16</v>
      </c>
      <c r="N53" s="101"/>
      <c r="O53" s="102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</row>
    <row r="54" ht="22.5" customHeight="1">
      <c r="A54" s="104" t="s">
        <v>42</v>
      </c>
      <c r="B54" s="105">
        <f>SUM(B49:B53)</f>
        <v>55</v>
      </c>
      <c r="C54" s="124">
        <f t="shared" ref="C54:F54" si="28">sum(C49:C53)</f>
        <v>0</v>
      </c>
      <c r="D54" s="124">
        <f t="shared" si="28"/>
        <v>0</v>
      </c>
      <c r="E54" s="124">
        <f t="shared" si="28"/>
        <v>0</v>
      </c>
      <c r="F54" s="124">
        <f t="shared" si="28"/>
        <v>0</v>
      </c>
      <c r="G54" s="106"/>
      <c r="H54" s="120">
        <f>H53</f>
        <v>565</v>
      </c>
      <c r="I54" s="120"/>
      <c r="J54" s="125">
        <f>J53</f>
        <v>432</v>
      </c>
      <c r="K54" s="120">
        <f t="shared" si="1"/>
        <v>997</v>
      </c>
      <c r="L54" s="109"/>
      <c r="M54" s="124">
        <f t="shared" si="17"/>
        <v>39</v>
      </c>
      <c r="N54" s="126"/>
      <c r="O54" s="127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</row>
    <row r="55" ht="22.5" customHeight="1">
      <c r="A55" s="129" t="s">
        <v>98</v>
      </c>
      <c r="B55" s="130">
        <v>46097.0</v>
      </c>
      <c r="C55" s="131"/>
      <c r="D55" s="131"/>
      <c r="E55" s="131"/>
      <c r="F55" s="131"/>
      <c r="G55" s="132"/>
      <c r="H55" s="133">
        <v>472.0</v>
      </c>
      <c r="I55" s="134"/>
      <c r="J55" s="131">
        <v>441.0</v>
      </c>
      <c r="K55" s="134">
        <f t="shared" si="1"/>
        <v>913</v>
      </c>
      <c r="L55" s="135" t="s">
        <v>99</v>
      </c>
      <c r="M55" s="136">
        <f t="shared" si="17"/>
        <v>46081</v>
      </c>
      <c r="N55" s="35"/>
      <c r="O55" s="32"/>
    </row>
    <row r="56" ht="22.5" customHeight="1">
      <c r="A56" s="87">
        <v>46097.0</v>
      </c>
      <c r="B56" s="9">
        <v>19.0</v>
      </c>
      <c r="C56" s="9">
        <v>0.0</v>
      </c>
      <c r="D56" s="9">
        <v>0.0</v>
      </c>
      <c r="E56" s="9">
        <v>0.0</v>
      </c>
      <c r="F56" s="9">
        <v>0.0</v>
      </c>
      <c r="G56" s="88"/>
      <c r="H56" s="137">
        <v>472.0</v>
      </c>
      <c r="I56" s="12"/>
      <c r="J56" s="20">
        <f t="shared" ref="J56:J65" si="29">J55+C56-F56</f>
        <v>441</v>
      </c>
      <c r="K56" s="14">
        <f t="shared" si="1"/>
        <v>913</v>
      </c>
      <c r="L56" s="90"/>
      <c r="M56" s="30">
        <f t="shared" si="17"/>
        <v>3</v>
      </c>
      <c r="N56" s="35"/>
      <c r="O56" s="32"/>
    </row>
    <row r="57" ht="22.5" customHeight="1">
      <c r="A57" s="87">
        <v>46098.0</v>
      </c>
      <c r="B57" s="9">
        <v>2.0</v>
      </c>
      <c r="C57" s="36">
        <v>29.0</v>
      </c>
      <c r="D57" s="9">
        <v>0.0</v>
      </c>
      <c r="E57" s="9">
        <v>0.0</v>
      </c>
      <c r="F57" s="9">
        <v>0.0</v>
      </c>
      <c r="G57" s="88"/>
      <c r="H57" s="11">
        <f t="shared" ref="H57:H76" si="30">H56+B57-C57-D57-E57</f>
        <v>445</v>
      </c>
      <c r="I57" s="12"/>
      <c r="J57" s="20">
        <f t="shared" si="29"/>
        <v>470</v>
      </c>
      <c r="K57" s="14">
        <f t="shared" si="1"/>
        <v>915</v>
      </c>
      <c r="L57" s="89" t="s">
        <v>100</v>
      </c>
      <c r="M57" s="30">
        <f t="shared" si="17"/>
        <v>-14</v>
      </c>
      <c r="N57" s="35"/>
      <c r="O57" s="32"/>
    </row>
    <row r="58" ht="22.5" customHeight="1">
      <c r="A58" s="87">
        <v>46099.0</v>
      </c>
      <c r="B58" s="9">
        <v>9.0</v>
      </c>
      <c r="C58" s="9">
        <v>0.0</v>
      </c>
      <c r="D58" s="9">
        <v>0.0</v>
      </c>
      <c r="E58" s="9">
        <v>0.0</v>
      </c>
      <c r="F58" s="9">
        <v>0.0</v>
      </c>
      <c r="G58" s="88"/>
      <c r="H58" s="11">
        <f t="shared" si="30"/>
        <v>454</v>
      </c>
      <c r="I58" s="12"/>
      <c r="J58" s="20">
        <f t="shared" si="29"/>
        <v>470</v>
      </c>
      <c r="K58" s="14">
        <f t="shared" si="1"/>
        <v>924</v>
      </c>
      <c r="L58" s="90"/>
      <c r="M58" s="30">
        <f t="shared" si="17"/>
        <v>-7</v>
      </c>
      <c r="N58" s="35"/>
      <c r="O58" s="32"/>
    </row>
    <row r="59" ht="22.5" customHeight="1">
      <c r="A59" s="87">
        <v>46100.0</v>
      </c>
      <c r="B59" s="9">
        <v>0.0</v>
      </c>
      <c r="C59" s="36">
        <v>29.0</v>
      </c>
      <c r="D59" s="9">
        <v>0.0</v>
      </c>
      <c r="E59" s="9">
        <v>0.0</v>
      </c>
      <c r="F59" s="9">
        <v>0.0</v>
      </c>
      <c r="G59" s="88"/>
      <c r="H59" s="11">
        <f t="shared" si="30"/>
        <v>425</v>
      </c>
      <c r="I59" s="12"/>
      <c r="J59" s="20">
        <f t="shared" si="29"/>
        <v>499</v>
      </c>
      <c r="K59" s="14">
        <f t="shared" si="1"/>
        <v>924</v>
      </c>
      <c r="L59" s="89" t="s">
        <v>101</v>
      </c>
      <c r="M59" s="30">
        <f t="shared" si="17"/>
        <v>-16</v>
      </c>
      <c r="N59" s="35"/>
      <c r="O59" s="32"/>
    </row>
    <row r="60" ht="22.5" customHeight="1">
      <c r="A60" s="95">
        <v>46101.0</v>
      </c>
      <c r="B60" s="96"/>
      <c r="C60" s="96"/>
      <c r="D60" s="96"/>
      <c r="E60" s="96"/>
      <c r="F60" s="96"/>
      <c r="G60" s="97"/>
      <c r="H60" s="98">
        <f t="shared" si="30"/>
        <v>425</v>
      </c>
      <c r="I60" s="98"/>
      <c r="J60" s="99">
        <f t="shared" si="29"/>
        <v>499</v>
      </c>
      <c r="K60" s="98">
        <f t="shared" si="1"/>
        <v>924</v>
      </c>
      <c r="L60" s="138"/>
      <c r="M60" s="96">
        <f t="shared" si="17"/>
        <v>-16</v>
      </c>
      <c r="N60" s="101"/>
      <c r="O60" s="102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</row>
    <row r="61" ht="22.5" customHeight="1">
      <c r="A61" s="116">
        <v>46104.0</v>
      </c>
      <c r="B61" s="10">
        <v>8.0</v>
      </c>
      <c r="C61" s="10">
        <v>0.0</v>
      </c>
      <c r="D61" s="10">
        <v>0.0</v>
      </c>
      <c r="E61" s="10">
        <v>0.0</v>
      </c>
      <c r="F61" s="10">
        <v>0.0</v>
      </c>
      <c r="G61" s="117"/>
      <c r="H61" s="12">
        <f t="shared" si="30"/>
        <v>433</v>
      </c>
      <c r="I61" s="12"/>
      <c r="J61" s="28">
        <f t="shared" si="29"/>
        <v>499</v>
      </c>
      <c r="K61" s="12">
        <f t="shared" si="1"/>
        <v>932</v>
      </c>
      <c r="L61" s="139"/>
      <c r="M61" s="10">
        <f t="shared" si="17"/>
        <v>-8</v>
      </c>
      <c r="N61" s="35"/>
      <c r="O61" s="32"/>
    </row>
    <row r="62" ht="22.5" customHeight="1">
      <c r="A62" s="87">
        <v>46105.0</v>
      </c>
      <c r="B62" s="9">
        <v>16.0</v>
      </c>
      <c r="C62" s="140">
        <v>29.0</v>
      </c>
      <c r="D62" s="9">
        <v>0.0</v>
      </c>
      <c r="E62" s="9">
        <v>0.0</v>
      </c>
      <c r="F62" s="9">
        <v>0.0</v>
      </c>
      <c r="G62" s="88"/>
      <c r="H62" s="11">
        <f t="shared" si="30"/>
        <v>420</v>
      </c>
      <c r="I62" s="12"/>
      <c r="J62" s="20">
        <f t="shared" si="29"/>
        <v>528</v>
      </c>
      <c r="K62" s="14">
        <f t="shared" si="1"/>
        <v>948</v>
      </c>
      <c r="L62" s="89" t="s">
        <v>102</v>
      </c>
      <c r="M62" s="30">
        <f t="shared" si="17"/>
        <v>0</v>
      </c>
      <c r="N62" s="35"/>
      <c r="O62" s="32"/>
    </row>
    <row r="63" ht="22.5" customHeight="1">
      <c r="A63" s="87">
        <v>46106.0</v>
      </c>
      <c r="B63" s="9">
        <v>18.0</v>
      </c>
      <c r="C63" s="9">
        <v>0.0</v>
      </c>
      <c r="D63" s="9">
        <v>0.0</v>
      </c>
      <c r="E63" s="9">
        <v>0.0</v>
      </c>
      <c r="F63" s="9">
        <v>0.0</v>
      </c>
      <c r="G63" s="88"/>
      <c r="H63" s="11">
        <f t="shared" si="30"/>
        <v>438</v>
      </c>
      <c r="I63" s="12"/>
      <c r="J63" s="20">
        <f t="shared" si="29"/>
        <v>528</v>
      </c>
      <c r="K63" s="14">
        <f t="shared" si="1"/>
        <v>966</v>
      </c>
      <c r="L63" s="90"/>
      <c r="M63" s="30">
        <f t="shared" si="17"/>
        <v>2</v>
      </c>
      <c r="N63" s="35"/>
      <c r="O63" s="32"/>
    </row>
    <row r="64" ht="22.5" customHeight="1">
      <c r="A64" s="87">
        <v>46107.0</v>
      </c>
      <c r="B64" s="9">
        <v>24.0</v>
      </c>
      <c r="C64" s="9">
        <v>0.0</v>
      </c>
      <c r="D64" s="9">
        <v>0.0</v>
      </c>
      <c r="E64" s="9">
        <v>0.0</v>
      </c>
      <c r="F64" s="9">
        <v>0.0</v>
      </c>
      <c r="G64" s="88"/>
      <c r="H64" s="11">
        <f t="shared" si="30"/>
        <v>462</v>
      </c>
      <c r="I64" s="12"/>
      <c r="J64" s="20">
        <f t="shared" si="29"/>
        <v>528</v>
      </c>
      <c r="K64" s="14">
        <f t="shared" si="1"/>
        <v>990</v>
      </c>
      <c r="L64" s="90"/>
      <c r="M64" s="30">
        <f t="shared" si="17"/>
        <v>8</v>
      </c>
      <c r="N64" s="35"/>
      <c r="O64" s="32"/>
    </row>
    <row r="65" ht="22.5" customHeight="1">
      <c r="A65" s="95">
        <v>46108.0</v>
      </c>
      <c r="B65" s="96"/>
      <c r="C65" s="96"/>
      <c r="D65" s="96"/>
      <c r="E65" s="96"/>
      <c r="F65" s="96"/>
      <c r="G65" s="97"/>
      <c r="H65" s="98">
        <f t="shared" si="30"/>
        <v>462</v>
      </c>
      <c r="I65" s="98"/>
      <c r="J65" s="99">
        <f t="shared" si="29"/>
        <v>528</v>
      </c>
      <c r="K65" s="98">
        <f t="shared" si="1"/>
        <v>990</v>
      </c>
      <c r="L65" s="138"/>
      <c r="M65" s="96">
        <f t="shared" si="17"/>
        <v>-16</v>
      </c>
      <c r="N65" s="101"/>
      <c r="O65" s="102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</row>
    <row r="66" ht="22.5" customHeight="1">
      <c r="A66" s="87">
        <v>46111.0</v>
      </c>
      <c r="B66" s="9">
        <v>22.0</v>
      </c>
      <c r="C66" s="9">
        <v>0.0</v>
      </c>
      <c r="D66" s="9">
        <v>0.0</v>
      </c>
      <c r="E66" s="9">
        <v>0.0</v>
      </c>
      <c r="F66" s="9">
        <v>20.0</v>
      </c>
      <c r="G66" s="88"/>
      <c r="H66" s="11">
        <f t="shared" si="30"/>
        <v>484</v>
      </c>
      <c r="I66" s="12"/>
      <c r="J66" s="20">
        <f>J65+C66-F66-5</f>
        <v>503</v>
      </c>
      <c r="K66" s="14">
        <f t="shared" si="1"/>
        <v>987</v>
      </c>
      <c r="L66" s="89" t="s">
        <v>103</v>
      </c>
      <c r="M66" s="30">
        <f t="shared" si="17"/>
        <v>6</v>
      </c>
      <c r="N66" s="35"/>
      <c r="O66" s="32"/>
    </row>
    <row r="67" ht="22.5" customHeight="1">
      <c r="A67" s="87">
        <v>46112.0</v>
      </c>
      <c r="B67" s="9">
        <v>19.0</v>
      </c>
      <c r="C67" s="9">
        <v>0.0</v>
      </c>
      <c r="D67" s="9">
        <v>0.0</v>
      </c>
      <c r="E67" s="9">
        <v>0.0</v>
      </c>
      <c r="F67" s="9">
        <v>0.0</v>
      </c>
      <c r="G67" s="88"/>
      <c r="H67" s="11">
        <f t="shared" si="30"/>
        <v>503</v>
      </c>
      <c r="I67" s="12"/>
      <c r="J67" s="20">
        <f t="shared" ref="J67:J75" si="31">J66+C67-F67</f>
        <v>503</v>
      </c>
      <c r="K67" s="14">
        <f t="shared" si="1"/>
        <v>1006</v>
      </c>
      <c r="L67" s="90"/>
      <c r="M67" s="30">
        <f t="shared" si="17"/>
        <v>3</v>
      </c>
      <c r="N67" s="35"/>
      <c r="O67" s="32"/>
    </row>
    <row r="68" ht="22.5" customHeight="1">
      <c r="A68" s="87">
        <v>46113.0</v>
      </c>
      <c r="B68" s="9">
        <v>0.0</v>
      </c>
      <c r="C68" s="9">
        <v>0.0</v>
      </c>
      <c r="D68" s="9">
        <v>0.0</v>
      </c>
      <c r="E68" s="9">
        <v>0.0</v>
      </c>
      <c r="F68" s="9">
        <v>0.0</v>
      </c>
      <c r="G68" s="88"/>
      <c r="H68" s="11">
        <f t="shared" si="30"/>
        <v>503</v>
      </c>
      <c r="I68" s="12"/>
      <c r="J68" s="20">
        <f t="shared" si="31"/>
        <v>503</v>
      </c>
      <c r="K68" s="14">
        <f t="shared" si="1"/>
        <v>1006</v>
      </c>
      <c r="L68" s="89" t="s">
        <v>104</v>
      </c>
      <c r="M68" s="30">
        <f t="shared" si="17"/>
        <v>-16</v>
      </c>
      <c r="N68" s="35"/>
      <c r="O68" s="32"/>
    </row>
    <row r="69" ht="22.5" customHeight="1">
      <c r="A69" s="78">
        <v>46118.0</v>
      </c>
      <c r="B69" s="79">
        <v>17.0</v>
      </c>
      <c r="C69" s="79">
        <v>0.0</v>
      </c>
      <c r="D69" s="79">
        <v>0.0</v>
      </c>
      <c r="E69" s="79">
        <v>0.0</v>
      </c>
      <c r="F69" s="79">
        <v>0.0</v>
      </c>
      <c r="G69" s="80"/>
      <c r="H69" s="82">
        <f t="shared" si="30"/>
        <v>520</v>
      </c>
      <c r="I69" s="82"/>
      <c r="J69" s="91">
        <f t="shared" si="31"/>
        <v>503</v>
      </c>
      <c r="K69" s="82">
        <f t="shared" si="1"/>
        <v>1023</v>
      </c>
      <c r="L69" s="83"/>
      <c r="M69" s="79">
        <f t="shared" si="17"/>
        <v>1</v>
      </c>
      <c r="N69" s="84"/>
      <c r="O69" s="85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</row>
    <row r="70" ht="22.5" customHeight="1">
      <c r="A70" s="87">
        <v>46119.0</v>
      </c>
      <c r="B70" s="9">
        <v>19.0</v>
      </c>
      <c r="C70" s="141">
        <v>29.0</v>
      </c>
      <c r="D70" s="9">
        <v>0.0</v>
      </c>
      <c r="E70" s="9">
        <v>0.0</v>
      </c>
      <c r="F70" s="9">
        <v>0.0</v>
      </c>
      <c r="G70" s="88"/>
      <c r="H70" s="11">
        <f t="shared" si="30"/>
        <v>510</v>
      </c>
      <c r="I70" s="12"/>
      <c r="J70" s="20">
        <f t="shared" si="31"/>
        <v>532</v>
      </c>
      <c r="K70" s="14">
        <f t="shared" si="1"/>
        <v>1042</v>
      </c>
      <c r="L70" s="89" t="s">
        <v>105</v>
      </c>
      <c r="M70" s="30">
        <f t="shared" si="17"/>
        <v>3</v>
      </c>
      <c r="N70" s="35"/>
      <c r="O70" s="32"/>
    </row>
    <row r="71" ht="22.5" customHeight="1">
      <c r="A71" s="87">
        <v>46120.0</v>
      </c>
      <c r="B71" s="9">
        <v>8.0</v>
      </c>
      <c r="C71" s="9">
        <v>0.0</v>
      </c>
      <c r="D71" s="9">
        <v>0.0</v>
      </c>
      <c r="E71" s="9">
        <v>0.0</v>
      </c>
      <c r="F71" s="9">
        <v>0.0</v>
      </c>
      <c r="G71" s="88"/>
      <c r="H71" s="11">
        <f t="shared" si="30"/>
        <v>518</v>
      </c>
      <c r="I71" s="12"/>
      <c r="J71" s="20">
        <f t="shared" si="31"/>
        <v>532</v>
      </c>
      <c r="K71" s="14">
        <f t="shared" si="1"/>
        <v>1050</v>
      </c>
      <c r="L71" s="90"/>
      <c r="M71" s="30">
        <f t="shared" si="17"/>
        <v>-8</v>
      </c>
      <c r="N71" s="35"/>
      <c r="O71" s="32"/>
    </row>
    <row r="72" ht="22.5" customHeight="1">
      <c r="A72" s="78">
        <v>46125.0</v>
      </c>
      <c r="B72" s="79">
        <v>19.0</v>
      </c>
      <c r="C72" s="79">
        <v>0.0</v>
      </c>
      <c r="D72" s="79">
        <v>0.0</v>
      </c>
      <c r="E72" s="79">
        <v>0.0</v>
      </c>
      <c r="F72" s="79">
        <v>0.0</v>
      </c>
      <c r="G72" s="80"/>
      <c r="H72" s="82">
        <f t="shared" si="30"/>
        <v>537</v>
      </c>
      <c r="I72" s="82"/>
      <c r="J72" s="91">
        <f t="shared" si="31"/>
        <v>532</v>
      </c>
      <c r="K72" s="82">
        <f t="shared" si="1"/>
        <v>1069</v>
      </c>
      <c r="L72" s="142"/>
      <c r="M72" s="79">
        <f t="shared" si="17"/>
        <v>3</v>
      </c>
      <c r="N72" s="84"/>
      <c r="O72" s="85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</row>
    <row r="73" ht="22.5" customHeight="1">
      <c r="A73" s="87">
        <v>46126.0</v>
      </c>
      <c r="B73" s="9">
        <v>8.0</v>
      </c>
      <c r="C73" s="9">
        <v>0.0</v>
      </c>
      <c r="D73" s="9">
        <v>0.0</v>
      </c>
      <c r="E73" s="9">
        <v>0.0</v>
      </c>
      <c r="F73" s="9">
        <v>0.0</v>
      </c>
      <c r="G73" s="88"/>
      <c r="H73" s="11">
        <f t="shared" si="30"/>
        <v>545</v>
      </c>
      <c r="I73" s="12"/>
      <c r="J73" s="20">
        <f t="shared" si="31"/>
        <v>532</v>
      </c>
      <c r="K73" s="14">
        <f t="shared" si="1"/>
        <v>1077</v>
      </c>
      <c r="L73" s="90"/>
      <c r="M73" s="30">
        <f t="shared" si="17"/>
        <v>-8</v>
      </c>
      <c r="N73" s="35"/>
      <c r="O73" s="32"/>
    </row>
    <row r="74" ht="22.5" customHeight="1">
      <c r="A74" s="87">
        <v>46127.0</v>
      </c>
      <c r="B74" s="9">
        <v>20.0</v>
      </c>
      <c r="C74" s="9">
        <v>0.0</v>
      </c>
      <c r="D74" s="9">
        <v>0.0</v>
      </c>
      <c r="E74" s="9">
        <v>0.0</v>
      </c>
      <c r="F74" s="9">
        <v>0.0</v>
      </c>
      <c r="G74" s="88"/>
      <c r="H74" s="11">
        <f t="shared" si="30"/>
        <v>565</v>
      </c>
      <c r="I74" s="12"/>
      <c r="J74" s="20">
        <f t="shared" si="31"/>
        <v>532</v>
      </c>
      <c r="K74" s="14">
        <f t="shared" si="1"/>
        <v>1097</v>
      </c>
      <c r="L74" s="90"/>
      <c r="M74" s="30">
        <f t="shared" si="17"/>
        <v>4</v>
      </c>
      <c r="N74" s="35"/>
      <c r="O74" s="32"/>
    </row>
    <row r="75" ht="22.5" customHeight="1">
      <c r="A75" s="87">
        <v>46128.0</v>
      </c>
      <c r="B75" s="9">
        <v>9.0</v>
      </c>
      <c r="C75" s="9">
        <v>0.0</v>
      </c>
      <c r="D75" s="9">
        <v>0.0</v>
      </c>
      <c r="E75" s="9">
        <v>0.0</v>
      </c>
      <c r="F75" s="9">
        <v>0.0</v>
      </c>
      <c r="G75" s="88"/>
      <c r="H75" s="11">
        <f t="shared" si="30"/>
        <v>574</v>
      </c>
      <c r="I75" s="12"/>
      <c r="J75" s="20">
        <f t="shared" si="31"/>
        <v>532</v>
      </c>
      <c r="K75" s="14">
        <f t="shared" si="1"/>
        <v>1106</v>
      </c>
      <c r="L75" s="90"/>
      <c r="M75" s="30">
        <f t="shared" si="17"/>
        <v>-7</v>
      </c>
      <c r="N75" s="35"/>
      <c r="O75" s="32"/>
    </row>
    <row r="76" ht="22.5" customHeight="1">
      <c r="A76" s="78">
        <v>46132.0</v>
      </c>
      <c r="B76" s="79">
        <v>15.0</v>
      </c>
      <c r="C76" s="79">
        <v>0.0</v>
      </c>
      <c r="D76" s="79">
        <v>0.0</v>
      </c>
      <c r="E76" s="79">
        <v>0.0</v>
      </c>
      <c r="F76" s="79">
        <v>0.0</v>
      </c>
      <c r="G76" s="80">
        <v>46.0</v>
      </c>
      <c r="H76" s="82">
        <f t="shared" si="30"/>
        <v>589</v>
      </c>
      <c r="I76" s="82"/>
      <c r="J76" s="91">
        <f t="shared" ref="J76:J80" si="32">J75+C76-F76-G76</f>
        <v>486</v>
      </c>
      <c r="K76" s="82">
        <f t="shared" si="1"/>
        <v>1075</v>
      </c>
      <c r="L76" s="143" t="s">
        <v>106</v>
      </c>
      <c r="M76" s="79">
        <f t="shared" si="17"/>
        <v>-1</v>
      </c>
      <c r="N76" s="84"/>
      <c r="O76" s="85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</row>
    <row r="77" ht="22.5" customHeight="1">
      <c r="A77" s="87">
        <v>46133.0</v>
      </c>
      <c r="B77" s="9">
        <v>16.0</v>
      </c>
      <c r="C77" s="9">
        <v>0.0</v>
      </c>
      <c r="D77" s="9">
        <v>0.0</v>
      </c>
      <c r="E77" s="9">
        <v>0.0</v>
      </c>
      <c r="F77" s="9">
        <v>0.0</v>
      </c>
      <c r="G77" s="88">
        <v>0.0</v>
      </c>
      <c r="H77" s="11">
        <f t="shared" ref="H77:H80" si="33">H76+B77</f>
        <v>605</v>
      </c>
      <c r="I77" s="12"/>
      <c r="J77" s="20">
        <f t="shared" si="32"/>
        <v>486</v>
      </c>
      <c r="K77" s="14">
        <f t="shared" si="1"/>
        <v>1091</v>
      </c>
      <c r="L77" s="90"/>
      <c r="M77" s="30">
        <f t="shared" si="17"/>
        <v>0</v>
      </c>
      <c r="N77" s="35"/>
      <c r="O77" s="32"/>
    </row>
    <row r="78" ht="22.5" customHeight="1">
      <c r="A78" s="87">
        <v>46134.0</v>
      </c>
      <c r="B78" s="9">
        <v>20.0</v>
      </c>
      <c r="C78" s="9">
        <v>0.0</v>
      </c>
      <c r="D78" s="9">
        <v>0.0</v>
      </c>
      <c r="E78" s="9">
        <v>0.0</v>
      </c>
      <c r="F78" s="9">
        <v>0.0</v>
      </c>
      <c r="G78" s="88">
        <v>0.0</v>
      </c>
      <c r="H78" s="11">
        <f t="shared" si="33"/>
        <v>625</v>
      </c>
      <c r="I78" s="12"/>
      <c r="J78" s="20">
        <f t="shared" si="32"/>
        <v>486</v>
      </c>
      <c r="K78" s="14">
        <f t="shared" si="1"/>
        <v>1111</v>
      </c>
      <c r="L78" s="90"/>
      <c r="M78" s="30">
        <f t="shared" si="17"/>
        <v>4</v>
      </c>
      <c r="N78" s="35"/>
      <c r="O78" s="32"/>
    </row>
    <row r="79" ht="22.5" customHeight="1">
      <c r="A79" s="87">
        <v>46135.0</v>
      </c>
      <c r="B79" s="9">
        <v>19.0</v>
      </c>
      <c r="C79" s="9">
        <v>0.0</v>
      </c>
      <c r="D79" s="9">
        <v>0.0</v>
      </c>
      <c r="E79" s="9">
        <v>0.0</v>
      </c>
      <c r="F79" s="9">
        <v>0.0</v>
      </c>
      <c r="G79" s="88">
        <v>0.0</v>
      </c>
      <c r="H79" s="11">
        <f t="shared" si="33"/>
        <v>644</v>
      </c>
      <c r="I79" s="12"/>
      <c r="J79" s="20">
        <f t="shared" si="32"/>
        <v>486</v>
      </c>
      <c r="K79" s="14">
        <f t="shared" si="1"/>
        <v>1130</v>
      </c>
      <c r="L79" s="90"/>
      <c r="M79" s="30">
        <f t="shared" si="17"/>
        <v>3</v>
      </c>
      <c r="N79" s="35"/>
      <c r="O79" s="32"/>
    </row>
    <row r="80" ht="22.5" customHeight="1">
      <c r="A80" s="87"/>
      <c r="B80" s="9"/>
      <c r="C80" s="9"/>
      <c r="D80" s="9"/>
      <c r="E80" s="9"/>
      <c r="F80" s="9"/>
      <c r="G80" s="88"/>
      <c r="H80" s="11">
        <f t="shared" si="33"/>
        <v>644</v>
      </c>
      <c r="I80" s="12"/>
      <c r="J80" s="20">
        <f t="shared" si="32"/>
        <v>486</v>
      </c>
      <c r="K80" s="14">
        <f t="shared" si="1"/>
        <v>1130</v>
      </c>
      <c r="L80" s="90"/>
      <c r="M80" s="30">
        <f t="shared" si="17"/>
        <v>-16</v>
      </c>
      <c r="N80" s="35"/>
      <c r="O80" s="32"/>
    </row>
  </sheetData>
  <dataValidations>
    <dataValidation type="custom" allowBlank="1" showDropDown="1" sqref="A2:A80">
      <formula1>OR(NOT(ISERROR(DATEVALUE(A2))), AND(ISNUMBER(A2), LEFT(CELL("format", A2))="D"))</formula1>
    </dataValidation>
    <dataValidation type="custom" allowBlank="1" showDropDown="1" sqref="B2:C80 H2:H80 J2:J80">
      <formula1>AND(ISNUMBER(B2),(NOT(OR(NOT(ISERROR(DATEVALUE(B2))), AND(ISNUMBER(B2), LEFT(CELL("format", B2))="D")))))</formula1>
    </dataValidation>
    <dataValidation type="custom" allowBlank="1" showDropDown="1" sqref="F2:G80">
      <formula1>AND(ISNUMBER(F2),(NOT(OR(NOT(ISERROR(DATEVALUE(F2))), AND(ISNUMBER(F2), LEFT(CELL("format", F2))="D")))))</formula1>
    </dataValidation>
  </dataValidations>
  <drawing r:id="rId4"/>
  <legacyDrawing r:id="rId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9.38"/>
    <col customWidth="1" hidden="1" min="2" max="4" width="18.13"/>
    <col customWidth="1" min="5" max="5" width="18.0"/>
    <col customWidth="1" min="6" max="6" width="16.38"/>
    <col customWidth="1" min="7" max="7" width="20.13"/>
    <col customWidth="1" min="8" max="8" width="15.38"/>
    <col customWidth="1" min="9" max="9" width="17.13"/>
    <col customWidth="1" min="10" max="10" width="20.0"/>
    <col customWidth="1" min="11" max="11" width="18.13"/>
    <col customWidth="1" hidden="1" min="12" max="13" width="18.5"/>
    <col customWidth="1" min="14" max="14" width="20.13"/>
  </cols>
  <sheetData>
    <row r="1" ht="22.5" customHeight="1">
      <c r="A1" s="75" t="s">
        <v>79</v>
      </c>
      <c r="B1" s="144" t="s">
        <v>107</v>
      </c>
      <c r="C1" s="145" t="s">
        <v>108</v>
      </c>
      <c r="D1" s="146" t="s">
        <v>109</v>
      </c>
      <c r="E1" s="147" t="s">
        <v>110</v>
      </c>
      <c r="F1" s="148" t="s">
        <v>111</v>
      </c>
      <c r="G1" s="147" t="s">
        <v>112</v>
      </c>
      <c r="H1" s="147" t="s">
        <v>113</v>
      </c>
      <c r="I1" s="148" t="s">
        <v>114</v>
      </c>
      <c r="J1" s="149" t="s">
        <v>115</v>
      </c>
      <c r="K1" s="150" t="s">
        <v>116</v>
      </c>
      <c r="L1" s="151" t="s">
        <v>117</v>
      </c>
      <c r="M1" s="152" t="s">
        <v>118</v>
      </c>
      <c r="N1" s="153" t="s">
        <v>46</v>
      </c>
    </row>
    <row r="2" ht="22.5" customHeight="1">
      <c r="A2" s="154">
        <v>46055.0</v>
      </c>
      <c r="B2" s="79"/>
      <c r="C2" s="79"/>
      <c r="D2" s="79"/>
      <c r="E2" s="79">
        <v>200.0</v>
      </c>
      <c r="F2" s="155">
        <v>100.0</v>
      </c>
      <c r="G2" s="156">
        <v>180.0</v>
      </c>
      <c r="H2" s="79"/>
      <c r="I2" s="155">
        <f>H2+G2</f>
        <v>180</v>
      </c>
      <c r="J2" s="79">
        <f>8*'2026 v. INVENTORY OF BRICKS'!B18</f>
        <v>96</v>
      </c>
      <c r="K2" s="157">
        <f t="shared" ref="K2:K28" si="1">I2-J2</f>
        <v>84</v>
      </c>
      <c r="L2" s="157"/>
      <c r="M2" s="157"/>
      <c r="N2" s="158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</row>
    <row r="3" ht="22.5" customHeight="1">
      <c r="A3" s="159">
        <v>46056.0</v>
      </c>
      <c r="B3" s="160"/>
      <c r="C3" s="161"/>
      <c r="D3" s="162"/>
      <c r="E3" s="9">
        <v>100.0</v>
      </c>
      <c r="F3" s="163">
        <f t="shared" ref="F3:F21" si="2">F2+E3-G3</f>
        <v>0</v>
      </c>
      <c r="G3" s="164">
        <v>200.0</v>
      </c>
      <c r="H3" s="9">
        <v>0.0</v>
      </c>
      <c r="I3" s="165">
        <f t="shared" ref="I3:I22" si="3">H3+G3+K2</f>
        <v>284</v>
      </c>
      <c r="J3" s="36">
        <f>8*'2026 v. INVENTORY OF BRICKS'!B19</f>
        <v>120</v>
      </c>
      <c r="K3" s="166">
        <f t="shared" si="1"/>
        <v>164</v>
      </c>
      <c r="L3" s="167"/>
      <c r="M3" s="168"/>
      <c r="N3" s="169"/>
    </row>
    <row r="4" ht="22.5" customHeight="1">
      <c r="A4" s="159">
        <v>46057.0</v>
      </c>
      <c r="B4" s="160"/>
      <c r="C4" s="161"/>
      <c r="D4" s="162"/>
      <c r="E4" s="9">
        <v>100.0</v>
      </c>
      <c r="F4" s="163">
        <f t="shared" si="2"/>
        <v>0</v>
      </c>
      <c r="G4" s="164">
        <v>100.0</v>
      </c>
      <c r="H4" s="9">
        <v>0.0</v>
      </c>
      <c r="I4" s="165">
        <f t="shared" si="3"/>
        <v>264</v>
      </c>
      <c r="J4" s="36">
        <f>8*'2026 v. INVENTORY OF BRICKS'!B20</f>
        <v>120</v>
      </c>
      <c r="K4" s="166">
        <f t="shared" si="1"/>
        <v>144</v>
      </c>
      <c r="L4" s="167"/>
      <c r="M4" s="168"/>
      <c r="N4" s="169"/>
    </row>
    <row r="5" ht="22.5" customHeight="1">
      <c r="A5" s="170">
        <v>46058.0</v>
      </c>
      <c r="B5" s="96"/>
      <c r="C5" s="96"/>
      <c r="D5" s="96"/>
      <c r="E5" s="96">
        <v>0.0</v>
      </c>
      <c r="F5" s="171">
        <f t="shared" si="2"/>
        <v>0</v>
      </c>
      <c r="G5" s="172">
        <v>0.0</v>
      </c>
      <c r="H5" s="96">
        <v>0.0</v>
      </c>
      <c r="I5" s="171">
        <f t="shared" si="3"/>
        <v>144</v>
      </c>
      <c r="J5" s="96">
        <f>8*'2026 v. INVENTORY OF BRICKS'!B21</f>
        <v>32</v>
      </c>
      <c r="K5" s="173">
        <f t="shared" si="1"/>
        <v>112</v>
      </c>
      <c r="L5" s="173"/>
      <c r="M5" s="173"/>
      <c r="N5" s="174" t="s">
        <v>119</v>
      </c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</row>
    <row r="6" ht="22.5" customHeight="1">
      <c r="A6" s="170">
        <v>46059.0</v>
      </c>
      <c r="B6" s="96"/>
      <c r="C6" s="96"/>
      <c r="D6" s="96"/>
      <c r="E6" s="96">
        <v>0.0</v>
      </c>
      <c r="F6" s="171">
        <f t="shared" si="2"/>
        <v>0</v>
      </c>
      <c r="G6" s="172">
        <v>0.0</v>
      </c>
      <c r="H6" s="96">
        <v>0.0</v>
      </c>
      <c r="I6" s="171">
        <f t="shared" si="3"/>
        <v>112</v>
      </c>
      <c r="J6" s="96">
        <f>8*'2026 v. INVENTORY OF BRICKS'!B22</f>
        <v>0</v>
      </c>
      <c r="K6" s="173">
        <f t="shared" si="1"/>
        <v>112</v>
      </c>
      <c r="L6" s="173"/>
      <c r="M6" s="173"/>
      <c r="N6" s="174" t="s">
        <v>119</v>
      </c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</row>
    <row r="7" ht="22.5" customHeight="1">
      <c r="A7" s="154">
        <v>46062.0</v>
      </c>
      <c r="B7" s="79"/>
      <c r="C7" s="79"/>
      <c r="D7" s="79"/>
      <c r="E7" s="79">
        <v>200.0</v>
      </c>
      <c r="F7" s="155">
        <f t="shared" si="2"/>
        <v>100</v>
      </c>
      <c r="G7" s="156">
        <v>100.0</v>
      </c>
      <c r="H7" s="79">
        <v>0.0</v>
      </c>
      <c r="I7" s="155">
        <f t="shared" si="3"/>
        <v>212</v>
      </c>
      <c r="J7" s="79">
        <f>8*'2026 v. INVENTORY OF BRICKS'!B24</f>
        <v>152</v>
      </c>
      <c r="K7" s="157">
        <f t="shared" si="1"/>
        <v>60</v>
      </c>
      <c r="L7" s="157"/>
      <c r="M7" s="157"/>
      <c r="N7" s="158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</row>
    <row r="8" ht="22.5" customHeight="1">
      <c r="A8" s="159">
        <v>46063.0</v>
      </c>
      <c r="B8" s="160"/>
      <c r="C8" s="161"/>
      <c r="D8" s="162"/>
      <c r="E8" s="9">
        <v>200.0</v>
      </c>
      <c r="F8" s="163">
        <f t="shared" si="2"/>
        <v>100</v>
      </c>
      <c r="G8" s="175">
        <v>200.0</v>
      </c>
      <c r="H8" s="9">
        <v>0.0</v>
      </c>
      <c r="I8" s="165">
        <f t="shared" si="3"/>
        <v>260</v>
      </c>
      <c r="J8" s="36">
        <f>8*'2026 v. INVENTORY OF BRICKS'!B25</f>
        <v>192</v>
      </c>
      <c r="K8" s="166">
        <f t="shared" si="1"/>
        <v>68</v>
      </c>
      <c r="L8" s="167"/>
      <c r="M8" s="168"/>
      <c r="N8" s="169"/>
    </row>
    <row r="9" ht="22.5" customHeight="1">
      <c r="A9" s="159">
        <v>46064.0</v>
      </c>
      <c r="B9" s="160"/>
      <c r="C9" s="161"/>
      <c r="D9" s="162"/>
      <c r="E9" s="9">
        <v>200.0</v>
      </c>
      <c r="F9" s="163">
        <f t="shared" si="2"/>
        <v>100</v>
      </c>
      <c r="G9" s="175">
        <v>200.0</v>
      </c>
      <c r="H9" s="9">
        <v>0.0</v>
      </c>
      <c r="I9" s="165">
        <f t="shared" si="3"/>
        <v>268</v>
      </c>
      <c r="J9" s="36">
        <f>8*'2026 v. INVENTORY OF BRICKS'!B26</f>
        <v>184</v>
      </c>
      <c r="K9" s="166">
        <f t="shared" si="1"/>
        <v>84</v>
      </c>
      <c r="L9" s="167"/>
      <c r="M9" s="168"/>
      <c r="N9" s="169"/>
    </row>
    <row r="10" ht="22.5" customHeight="1">
      <c r="A10" s="159">
        <v>46065.0</v>
      </c>
      <c r="B10" s="160"/>
      <c r="C10" s="161"/>
      <c r="D10" s="162"/>
      <c r="E10" s="9">
        <v>108.0</v>
      </c>
      <c r="F10" s="163">
        <f t="shared" si="2"/>
        <v>108</v>
      </c>
      <c r="G10" s="175">
        <v>100.0</v>
      </c>
      <c r="H10" s="9">
        <v>0.0</v>
      </c>
      <c r="I10" s="165">
        <f t="shared" si="3"/>
        <v>184</v>
      </c>
      <c r="J10" s="36">
        <f>8*'2026 v. INVENTORY OF BRICKS'!B27</f>
        <v>120</v>
      </c>
      <c r="K10" s="166">
        <f t="shared" si="1"/>
        <v>64</v>
      </c>
      <c r="L10" s="167"/>
      <c r="M10" s="168"/>
      <c r="N10" s="169"/>
    </row>
    <row r="11" ht="22.5" customHeight="1">
      <c r="A11" s="159">
        <v>46066.0</v>
      </c>
      <c r="B11" s="160"/>
      <c r="C11" s="161"/>
      <c r="D11" s="162"/>
      <c r="E11" s="9">
        <v>200.0</v>
      </c>
      <c r="F11" s="163">
        <f t="shared" si="2"/>
        <v>208</v>
      </c>
      <c r="G11" s="175">
        <v>100.0</v>
      </c>
      <c r="H11" s="9">
        <v>8.0</v>
      </c>
      <c r="I11" s="165">
        <f t="shared" si="3"/>
        <v>172</v>
      </c>
      <c r="J11" s="36">
        <f>8*'2026 v. INVENTORY OF BRICKS'!B28</f>
        <v>112</v>
      </c>
      <c r="K11" s="166">
        <f t="shared" si="1"/>
        <v>60</v>
      </c>
      <c r="L11" s="167"/>
      <c r="M11" s="168"/>
      <c r="N11" s="169"/>
    </row>
    <row r="12" ht="22.5" customHeight="1">
      <c r="A12" s="154">
        <v>46069.0</v>
      </c>
      <c r="B12" s="79"/>
      <c r="C12" s="79"/>
      <c r="D12" s="79"/>
      <c r="E12" s="79">
        <v>100.0</v>
      </c>
      <c r="F12" s="155">
        <f t="shared" si="2"/>
        <v>108</v>
      </c>
      <c r="G12" s="156">
        <v>200.0</v>
      </c>
      <c r="H12" s="79">
        <v>0.0</v>
      </c>
      <c r="I12" s="155">
        <f t="shared" si="3"/>
        <v>260</v>
      </c>
      <c r="J12" s="79">
        <f>8*'2026 v. INVENTORY OF BRICKS'!B30</f>
        <v>112</v>
      </c>
      <c r="K12" s="157">
        <f t="shared" si="1"/>
        <v>148</v>
      </c>
      <c r="L12" s="157"/>
      <c r="M12" s="157"/>
      <c r="N12" s="158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</row>
    <row r="13" ht="22.5" customHeight="1">
      <c r="A13" s="176">
        <v>46070.0</v>
      </c>
      <c r="B13" s="160"/>
      <c r="C13" s="161"/>
      <c r="D13" s="162"/>
      <c r="E13" s="9">
        <v>0.0</v>
      </c>
      <c r="F13" s="163">
        <f t="shared" si="2"/>
        <v>108</v>
      </c>
      <c r="G13" s="175">
        <v>0.0</v>
      </c>
      <c r="H13" s="9">
        <v>0.0</v>
      </c>
      <c r="I13" s="165">
        <f t="shared" si="3"/>
        <v>148</v>
      </c>
      <c r="J13" s="36">
        <f>8*'2026 v. INVENTORY OF BRICKS'!B31</f>
        <v>0</v>
      </c>
      <c r="K13" s="166">
        <f t="shared" si="1"/>
        <v>148</v>
      </c>
      <c r="L13" s="167"/>
      <c r="M13" s="168"/>
      <c r="N13" s="177" t="s">
        <v>120</v>
      </c>
    </row>
    <row r="14" ht="22.5" customHeight="1">
      <c r="A14" s="176">
        <v>46071.0</v>
      </c>
      <c r="B14" s="160"/>
      <c r="C14" s="161"/>
      <c r="D14" s="162"/>
      <c r="E14" s="9">
        <v>100.0</v>
      </c>
      <c r="F14" s="163">
        <f t="shared" si="2"/>
        <v>208</v>
      </c>
      <c r="G14" s="175">
        <v>0.0</v>
      </c>
      <c r="H14" s="9">
        <v>0.0</v>
      </c>
      <c r="I14" s="165">
        <f t="shared" si="3"/>
        <v>148</v>
      </c>
      <c r="J14" s="36">
        <f>8*'2026 v. INVENTORY OF BRICKS'!B32</f>
        <v>112</v>
      </c>
      <c r="K14" s="166">
        <f t="shared" si="1"/>
        <v>36</v>
      </c>
      <c r="L14" s="167"/>
      <c r="M14" s="168"/>
      <c r="N14" s="169"/>
    </row>
    <row r="15" ht="22.5" customHeight="1">
      <c r="A15" s="170">
        <v>46072.0</v>
      </c>
      <c r="B15" s="96"/>
      <c r="C15" s="96"/>
      <c r="D15" s="96"/>
      <c r="E15" s="96">
        <v>0.0</v>
      </c>
      <c r="F15" s="171">
        <f t="shared" si="2"/>
        <v>8</v>
      </c>
      <c r="G15" s="172">
        <v>200.0</v>
      </c>
      <c r="H15" s="96">
        <v>0.0</v>
      </c>
      <c r="I15" s="171">
        <f t="shared" si="3"/>
        <v>236</v>
      </c>
      <c r="J15" s="96">
        <f>8*'2026 v. INVENTORY OF BRICKS'!B33</f>
        <v>80</v>
      </c>
      <c r="K15" s="173">
        <f t="shared" si="1"/>
        <v>156</v>
      </c>
      <c r="L15" s="173"/>
      <c r="M15" s="173"/>
      <c r="N15" s="174" t="s">
        <v>121</v>
      </c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</row>
    <row r="16" ht="22.5" customHeight="1">
      <c r="A16" s="170">
        <v>46073.0</v>
      </c>
      <c r="B16" s="96"/>
      <c r="C16" s="96"/>
      <c r="D16" s="96"/>
      <c r="E16" s="96">
        <v>0.0</v>
      </c>
      <c r="F16" s="171">
        <f t="shared" si="2"/>
        <v>8</v>
      </c>
      <c r="G16" s="172">
        <v>0.0</v>
      </c>
      <c r="H16" s="96">
        <v>0.0</v>
      </c>
      <c r="I16" s="171">
        <f t="shared" si="3"/>
        <v>156</v>
      </c>
      <c r="J16" s="96">
        <f>8*'2026 v. INVENTORY OF BRICKS'!B34</f>
        <v>0</v>
      </c>
      <c r="K16" s="173">
        <f t="shared" si="1"/>
        <v>156</v>
      </c>
      <c r="L16" s="173"/>
      <c r="M16" s="173"/>
      <c r="N16" s="174" t="s">
        <v>119</v>
      </c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</row>
    <row r="17" ht="22.5" customHeight="1">
      <c r="A17" s="154">
        <v>46076.0</v>
      </c>
      <c r="B17" s="79"/>
      <c r="C17" s="79"/>
      <c r="D17" s="79"/>
      <c r="E17" s="79">
        <v>100.0</v>
      </c>
      <c r="F17" s="155">
        <f t="shared" si="2"/>
        <v>8</v>
      </c>
      <c r="G17" s="156">
        <v>100.0</v>
      </c>
      <c r="H17" s="79">
        <v>0.0</v>
      </c>
      <c r="I17" s="155">
        <f t="shared" si="3"/>
        <v>256</v>
      </c>
      <c r="J17" s="79">
        <f>8*'2026 v. INVENTORY OF BRICKS'!B36</f>
        <v>120</v>
      </c>
      <c r="K17" s="157">
        <f t="shared" si="1"/>
        <v>136</v>
      </c>
      <c r="L17" s="157"/>
      <c r="M17" s="157"/>
      <c r="N17" s="158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</row>
    <row r="18" ht="22.5" customHeight="1">
      <c r="A18" s="176">
        <v>46077.0</v>
      </c>
      <c r="B18" s="160"/>
      <c r="C18" s="161"/>
      <c r="D18" s="162"/>
      <c r="E18" s="9">
        <v>200.0</v>
      </c>
      <c r="F18" s="163">
        <f t="shared" si="2"/>
        <v>108</v>
      </c>
      <c r="G18" s="175">
        <v>100.0</v>
      </c>
      <c r="H18" s="9">
        <v>0.0</v>
      </c>
      <c r="I18" s="165">
        <f t="shared" si="3"/>
        <v>236</v>
      </c>
      <c r="J18" s="36">
        <f>8*'2026 v. INVENTORY OF BRICKS'!B37</f>
        <v>144</v>
      </c>
      <c r="K18" s="166">
        <f t="shared" si="1"/>
        <v>92</v>
      </c>
      <c r="L18" s="167"/>
      <c r="M18" s="168"/>
      <c r="N18" s="169"/>
    </row>
    <row r="19" ht="22.5" customHeight="1">
      <c r="A19" s="170">
        <v>46078.0</v>
      </c>
      <c r="B19" s="96"/>
      <c r="C19" s="96"/>
      <c r="D19" s="96"/>
      <c r="E19" s="96">
        <v>100.0</v>
      </c>
      <c r="F19" s="171">
        <f t="shared" si="2"/>
        <v>8</v>
      </c>
      <c r="G19" s="172">
        <v>200.0</v>
      </c>
      <c r="H19" s="96">
        <v>0.0</v>
      </c>
      <c r="I19" s="171">
        <f t="shared" si="3"/>
        <v>292</v>
      </c>
      <c r="J19" s="96">
        <f>8*'2026 v. INVENTORY OF BRICKS'!B38</f>
        <v>192</v>
      </c>
      <c r="K19" s="173">
        <f t="shared" si="1"/>
        <v>100</v>
      </c>
      <c r="L19" s="173"/>
      <c r="M19" s="173"/>
      <c r="N19" s="174" t="s">
        <v>122</v>
      </c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</row>
    <row r="20" ht="22.5" customHeight="1">
      <c r="A20" s="176">
        <v>46079.0</v>
      </c>
      <c r="B20" s="160"/>
      <c r="C20" s="161"/>
      <c r="D20" s="162"/>
      <c r="E20" s="9">
        <v>300.0</v>
      </c>
      <c r="F20" s="163">
        <f t="shared" si="2"/>
        <v>208</v>
      </c>
      <c r="G20" s="175">
        <v>100.0</v>
      </c>
      <c r="H20" s="9"/>
      <c r="I20" s="165">
        <f t="shared" si="3"/>
        <v>200</v>
      </c>
      <c r="J20" s="36">
        <f>8*'2026 v. INVENTORY OF BRICKS'!B39</f>
        <v>64</v>
      </c>
      <c r="K20" s="166">
        <f t="shared" si="1"/>
        <v>136</v>
      </c>
      <c r="L20" s="167"/>
      <c r="M20" s="168"/>
      <c r="N20" s="169"/>
    </row>
    <row r="21" ht="22.5" customHeight="1">
      <c r="A21" s="176">
        <v>46080.0</v>
      </c>
      <c r="B21" s="160"/>
      <c r="C21" s="161"/>
      <c r="D21" s="162"/>
      <c r="E21" s="9">
        <v>200.0</v>
      </c>
      <c r="F21" s="163">
        <f t="shared" si="2"/>
        <v>208</v>
      </c>
      <c r="G21" s="175">
        <v>200.0</v>
      </c>
      <c r="H21" s="9"/>
      <c r="I21" s="165">
        <f t="shared" si="3"/>
        <v>336</v>
      </c>
      <c r="J21" s="36">
        <f>8*'2026 v. INVENTORY OF BRICKS'!B40</f>
        <v>152</v>
      </c>
      <c r="K21" s="166">
        <f t="shared" si="1"/>
        <v>184</v>
      </c>
      <c r="L21" s="167"/>
      <c r="M21" s="168"/>
      <c r="N21" s="169"/>
    </row>
    <row r="22" ht="22.5" customHeight="1">
      <c r="A22" s="178" t="s">
        <v>123</v>
      </c>
      <c r="B22" s="105"/>
      <c r="C22" s="105"/>
      <c r="D22" s="105"/>
      <c r="E22" s="105">
        <f>SUM(E2:E21)</f>
        <v>2408</v>
      </c>
      <c r="F22" s="105"/>
      <c r="G22" s="179">
        <f t="shared" ref="G22:H22" si="4">SUM(G2:G21)</f>
        <v>2280</v>
      </c>
      <c r="H22" s="105">
        <f t="shared" si="4"/>
        <v>8</v>
      </c>
      <c r="I22" s="105">
        <f t="shared" si="3"/>
        <v>2472</v>
      </c>
      <c r="J22" s="105">
        <f>SUM(J2:J21)</f>
        <v>2104</v>
      </c>
      <c r="K22" s="180">
        <f t="shared" si="1"/>
        <v>368</v>
      </c>
      <c r="L22" s="180"/>
      <c r="M22" s="180"/>
      <c r="N22" s="181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</row>
    <row r="23" ht="22.5" customHeight="1">
      <c r="A23" s="154">
        <v>46083.0</v>
      </c>
      <c r="B23" s="155"/>
      <c r="C23" s="155"/>
      <c r="D23" s="155"/>
      <c r="E23" s="155">
        <v>0.0</v>
      </c>
      <c r="F23" s="155">
        <f>F21+E23-G23</f>
        <v>0</v>
      </c>
      <c r="G23" s="182">
        <v>208.0</v>
      </c>
      <c r="H23" s="155">
        <v>0.0</v>
      </c>
      <c r="I23" s="155">
        <f>H23+G23+K21</f>
        <v>392</v>
      </c>
      <c r="J23" s="155">
        <f>10*'2026 v. INVENTORY OF BRICKS'!B43</f>
        <v>170</v>
      </c>
      <c r="K23" s="183">
        <f t="shared" si="1"/>
        <v>222</v>
      </c>
      <c r="L23" s="183"/>
      <c r="M23" s="183"/>
      <c r="N23" s="184" t="s">
        <v>124</v>
      </c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</row>
    <row r="24" ht="22.5" customHeight="1">
      <c r="A24" s="176">
        <v>46084.0</v>
      </c>
      <c r="B24" s="186"/>
      <c r="C24" s="186"/>
      <c r="D24" s="186"/>
      <c r="E24" s="186">
        <v>0.0</v>
      </c>
      <c r="F24" s="187">
        <v>0.0</v>
      </c>
      <c r="G24" s="188">
        <v>0.0</v>
      </c>
      <c r="H24" s="186">
        <v>0.0</v>
      </c>
      <c r="I24" s="186">
        <f t="shared" ref="I24:I27" si="5">H24+G24+K23</f>
        <v>222</v>
      </c>
      <c r="J24" s="186">
        <f>8*'2026 v. INVENTORY OF BRICKS'!B44</f>
        <v>160</v>
      </c>
      <c r="K24" s="189">
        <f t="shared" si="1"/>
        <v>62</v>
      </c>
      <c r="L24" s="189"/>
      <c r="M24" s="189"/>
      <c r="N24" s="190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</row>
    <row r="25" ht="22.5" customHeight="1">
      <c r="A25" s="176">
        <v>46085.0</v>
      </c>
      <c r="B25" s="186"/>
      <c r="C25" s="186"/>
      <c r="D25" s="186"/>
      <c r="E25" s="186">
        <v>200.0</v>
      </c>
      <c r="F25" s="187">
        <f t="shared" ref="F25:F34" si="6">F24+E25-G25</f>
        <v>200</v>
      </c>
      <c r="G25" s="188">
        <v>0.0</v>
      </c>
      <c r="H25" s="186">
        <v>0.0</v>
      </c>
      <c r="I25" s="186">
        <f t="shared" si="5"/>
        <v>62</v>
      </c>
      <c r="J25" s="186">
        <f>8*'2026 v. INVENTORY OF BRICKS'!B45</f>
        <v>0</v>
      </c>
      <c r="K25" s="189">
        <f t="shared" si="1"/>
        <v>62</v>
      </c>
      <c r="L25" s="189"/>
      <c r="M25" s="189"/>
      <c r="N25" s="190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</row>
    <row r="26" ht="22.5" customHeight="1">
      <c r="A26" s="176">
        <v>46086.0</v>
      </c>
      <c r="B26" s="186"/>
      <c r="C26" s="186"/>
      <c r="D26" s="186"/>
      <c r="E26" s="186">
        <v>300.0</v>
      </c>
      <c r="F26" s="187">
        <f t="shared" si="6"/>
        <v>400</v>
      </c>
      <c r="G26" s="188">
        <v>100.0</v>
      </c>
      <c r="H26" s="186">
        <v>0.0</v>
      </c>
      <c r="I26" s="186">
        <f t="shared" si="5"/>
        <v>162</v>
      </c>
      <c r="J26" s="186">
        <f>8*'2026 v. INVENTORY OF BRICKS'!B46</f>
        <v>160</v>
      </c>
      <c r="K26" s="189">
        <f t="shared" si="1"/>
        <v>2</v>
      </c>
      <c r="L26" s="189"/>
      <c r="M26" s="189"/>
      <c r="N26" s="190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  <c r="AB26" s="191"/>
    </row>
    <row r="27" ht="22.5" customHeight="1">
      <c r="A27" s="176">
        <v>46087.0</v>
      </c>
      <c r="B27" s="186"/>
      <c r="C27" s="186"/>
      <c r="D27" s="186"/>
      <c r="E27" s="186">
        <v>0.0</v>
      </c>
      <c r="F27" s="187">
        <f t="shared" si="6"/>
        <v>200</v>
      </c>
      <c r="G27" s="188">
        <v>200.0</v>
      </c>
      <c r="H27" s="186">
        <v>0.0</v>
      </c>
      <c r="I27" s="186">
        <f t="shared" si="5"/>
        <v>202</v>
      </c>
      <c r="J27" s="186">
        <f>8*'2026 v. INVENTORY OF BRICKS'!B47</f>
        <v>64</v>
      </c>
      <c r="K27" s="189">
        <f t="shared" si="1"/>
        <v>138</v>
      </c>
      <c r="L27" s="189"/>
      <c r="M27" s="189"/>
      <c r="N27" s="190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</row>
    <row r="28" ht="22.5" customHeight="1">
      <c r="A28" s="154">
        <v>46090.0</v>
      </c>
      <c r="B28" s="155"/>
      <c r="C28" s="155"/>
      <c r="D28" s="155"/>
      <c r="E28" s="155">
        <v>300.0</v>
      </c>
      <c r="F28" s="155">
        <f t="shared" si="6"/>
        <v>500</v>
      </c>
      <c r="G28" s="182">
        <v>0.0</v>
      </c>
      <c r="H28" s="155">
        <v>0.0</v>
      </c>
      <c r="I28" s="155">
        <v>172.0</v>
      </c>
      <c r="J28" s="155">
        <v>172.0</v>
      </c>
      <c r="K28" s="183">
        <f t="shared" si="1"/>
        <v>0</v>
      </c>
      <c r="L28" s="183"/>
      <c r="M28" s="183"/>
      <c r="N28" s="192" t="s">
        <v>125</v>
      </c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</row>
    <row r="29" ht="22.5" customHeight="1">
      <c r="A29" s="176">
        <v>46091.0</v>
      </c>
      <c r="B29" s="186"/>
      <c r="C29" s="186"/>
      <c r="D29" s="186"/>
      <c r="E29" s="186">
        <v>300.0</v>
      </c>
      <c r="F29" s="187">
        <f t="shared" si="6"/>
        <v>500</v>
      </c>
      <c r="G29" s="188">
        <v>300.0</v>
      </c>
      <c r="H29" s="186">
        <v>0.0</v>
      </c>
      <c r="I29" s="186">
        <f t="shared" ref="I29:I59" si="7">H29+G29+K28</f>
        <v>300</v>
      </c>
      <c r="J29" s="186">
        <f>10*'2026 v. INVENTORY OF BRICKS'!B50</f>
        <v>190</v>
      </c>
      <c r="K29" s="189">
        <f>I29-J29-100</f>
        <v>10</v>
      </c>
      <c r="L29" s="189"/>
      <c r="M29" s="189"/>
      <c r="N29" s="177" t="s">
        <v>126</v>
      </c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</row>
    <row r="30" ht="22.5" customHeight="1">
      <c r="A30" s="176">
        <v>46092.0</v>
      </c>
      <c r="B30" s="186"/>
      <c r="C30" s="186"/>
      <c r="D30" s="186"/>
      <c r="E30" s="186">
        <v>0.0</v>
      </c>
      <c r="F30" s="187">
        <f t="shared" si="6"/>
        <v>200</v>
      </c>
      <c r="G30" s="188">
        <v>300.0</v>
      </c>
      <c r="H30" s="186">
        <v>0.0</v>
      </c>
      <c r="I30" s="186">
        <f t="shared" si="7"/>
        <v>310</v>
      </c>
      <c r="J30" s="186">
        <f>10*'2026 v. INVENTORY OF BRICKS'!B51</f>
        <v>190</v>
      </c>
      <c r="K30" s="189">
        <f t="shared" ref="K30:K60" si="8">I30-J30</f>
        <v>120</v>
      </c>
      <c r="L30" s="189"/>
      <c r="M30" s="189"/>
      <c r="N30" s="190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</row>
    <row r="31" ht="22.5" customHeight="1">
      <c r="A31" s="176">
        <v>46093.0</v>
      </c>
      <c r="B31" s="186"/>
      <c r="C31" s="186"/>
      <c r="D31" s="186"/>
      <c r="E31" s="186">
        <v>100.0</v>
      </c>
      <c r="F31" s="187">
        <f t="shared" si="6"/>
        <v>100</v>
      </c>
      <c r="G31" s="188">
        <v>200.0</v>
      </c>
      <c r="H31" s="186">
        <v>0.0</v>
      </c>
      <c r="I31" s="186">
        <f t="shared" si="7"/>
        <v>320</v>
      </c>
      <c r="J31" s="186">
        <f>10*'2026 v. INVENTORY OF BRICKS'!B52</f>
        <v>170</v>
      </c>
      <c r="K31" s="189">
        <f t="shared" si="8"/>
        <v>150</v>
      </c>
      <c r="L31" s="189"/>
      <c r="M31" s="189"/>
      <c r="N31" s="190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</row>
    <row r="32" ht="22.5" customHeight="1">
      <c r="A32" s="193">
        <v>46094.0</v>
      </c>
      <c r="B32" s="194"/>
      <c r="C32" s="194"/>
      <c r="D32" s="194"/>
      <c r="E32" s="194">
        <v>0.0</v>
      </c>
      <c r="F32" s="194">
        <f t="shared" si="6"/>
        <v>100</v>
      </c>
      <c r="G32" s="195">
        <v>0.0</v>
      </c>
      <c r="H32" s="194">
        <v>0.0</v>
      </c>
      <c r="I32" s="194">
        <f t="shared" si="7"/>
        <v>150</v>
      </c>
      <c r="J32" s="194">
        <f>10*'2026 v. INVENTORY OF BRICKS'!B53</f>
        <v>0</v>
      </c>
      <c r="K32" s="196">
        <f t="shared" si="8"/>
        <v>150</v>
      </c>
      <c r="L32" s="196"/>
      <c r="M32" s="196"/>
      <c r="N32" s="197" t="s">
        <v>127</v>
      </c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8"/>
      <c r="AA32" s="198"/>
      <c r="AB32" s="198"/>
    </row>
    <row r="33" ht="22.5" customHeight="1">
      <c r="A33" s="154">
        <v>46097.0</v>
      </c>
      <c r="B33" s="155"/>
      <c r="C33" s="155"/>
      <c r="D33" s="155"/>
      <c r="E33" s="155">
        <v>0.0</v>
      </c>
      <c r="F33" s="155">
        <f t="shared" si="6"/>
        <v>0</v>
      </c>
      <c r="G33" s="182">
        <v>100.0</v>
      </c>
      <c r="H33" s="155">
        <v>0.0</v>
      </c>
      <c r="I33" s="155">
        <f t="shared" si="7"/>
        <v>250</v>
      </c>
      <c r="J33" s="155">
        <f>10*'2026 v. INVENTORY OF BRICKS'!B56</f>
        <v>190</v>
      </c>
      <c r="K33" s="183">
        <f t="shared" si="8"/>
        <v>60</v>
      </c>
      <c r="L33" s="183"/>
      <c r="M33" s="183"/>
      <c r="N33" s="192" t="s">
        <v>128</v>
      </c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</row>
    <row r="34" ht="22.5" customHeight="1">
      <c r="A34" s="176">
        <v>46098.0</v>
      </c>
      <c r="B34" s="186"/>
      <c r="C34" s="186"/>
      <c r="D34" s="186"/>
      <c r="E34" s="186">
        <v>100.0</v>
      </c>
      <c r="F34" s="187">
        <f t="shared" si="6"/>
        <v>100</v>
      </c>
      <c r="G34" s="188">
        <v>0.0</v>
      </c>
      <c r="H34" s="186">
        <v>0.0</v>
      </c>
      <c r="I34" s="186">
        <f t="shared" si="7"/>
        <v>60</v>
      </c>
      <c r="J34" s="186">
        <f>10*'2026 v. INVENTORY OF BRICKS'!B57</f>
        <v>20</v>
      </c>
      <c r="K34" s="189">
        <f t="shared" si="8"/>
        <v>40</v>
      </c>
      <c r="L34" s="189"/>
      <c r="M34" s="189"/>
      <c r="N34" s="190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</row>
    <row r="35" ht="22.5" customHeight="1">
      <c r="A35" s="176">
        <v>46099.0</v>
      </c>
      <c r="B35" s="186"/>
      <c r="C35" s="186"/>
      <c r="D35" s="186"/>
      <c r="E35" s="186">
        <v>0.0</v>
      </c>
      <c r="F35" s="187">
        <f>F33+E35-G35</f>
        <v>0</v>
      </c>
      <c r="G35" s="188">
        <v>0.0</v>
      </c>
      <c r="H35" s="186">
        <v>0.0</v>
      </c>
      <c r="I35" s="186">
        <f t="shared" si="7"/>
        <v>40</v>
      </c>
      <c r="J35" s="186">
        <f>10*'2026 v. INVENTORY OF BRICKS'!B81</f>
        <v>0</v>
      </c>
      <c r="K35" s="189">
        <f t="shared" si="8"/>
        <v>40</v>
      </c>
      <c r="L35" s="189"/>
      <c r="M35" s="189"/>
      <c r="N35" s="190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  <c r="AB35" s="191"/>
    </row>
    <row r="36" ht="22.5" customHeight="1">
      <c r="A36" s="176">
        <v>46100.0</v>
      </c>
      <c r="B36" s="186"/>
      <c r="C36" s="186"/>
      <c r="D36" s="186"/>
      <c r="E36" s="186">
        <v>100.0</v>
      </c>
      <c r="F36" s="187">
        <f t="shared" ref="F36:F59" si="9">F35+E36-G36</f>
        <v>100</v>
      </c>
      <c r="G36" s="188">
        <v>0.0</v>
      </c>
      <c r="H36" s="186">
        <v>0.0</v>
      </c>
      <c r="I36" s="186">
        <f t="shared" si="7"/>
        <v>40</v>
      </c>
      <c r="J36" s="186">
        <f>10*'2026 v. INVENTORY OF BRICKS'!B82</f>
        <v>0</v>
      </c>
      <c r="K36" s="189">
        <f t="shared" si="8"/>
        <v>40</v>
      </c>
      <c r="L36" s="189"/>
      <c r="M36" s="189"/>
      <c r="N36" s="190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</row>
    <row r="37" ht="22.5" customHeight="1">
      <c r="A37" s="154">
        <v>46104.0</v>
      </c>
      <c r="B37" s="155"/>
      <c r="C37" s="155"/>
      <c r="D37" s="155"/>
      <c r="E37" s="155">
        <v>200.0</v>
      </c>
      <c r="F37" s="155">
        <f t="shared" si="9"/>
        <v>200</v>
      </c>
      <c r="G37" s="182">
        <v>100.0</v>
      </c>
      <c r="H37" s="155">
        <v>0.0</v>
      </c>
      <c r="I37" s="155">
        <f t="shared" si="7"/>
        <v>140</v>
      </c>
      <c r="J37" s="155">
        <f>12*'2026 v. INVENTORY OF BRICKS'!B61</f>
        <v>96</v>
      </c>
      <c r="K37" s="183">
        <f t="shared" si="8"/>
        <v>44</v>
      </c>
      <c r="L37" s="183"/>
      <c r="M37" s="183"/>
      <c r="N37" s="199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  <c r="AA37" s="185"/>
      <c r="AB37" s="185"/>
    </row>
    <row r="38" ht="22.5" customHeight="1">
      <c r="A38" s="176">
        <v>46105.0</v>
      </c>
      <c r="B38" s="186"/>
      <c r="C38" s="186"/>
      <c r="D38" s="186"/>
      <c r="E38" s="186">
        <v>300.0</v>
      </c>
      <c r="F38" s="187">
        <f t="shared" si="9"/>
        <v>300</v>
      </c>
      <c r="G38" s="188">
        <v>200.0</v>
      </c>
      <c r="H38" s="186">
        <v>0.0</v>
      </c>
      <c r="I38" s="186">
        <f t="shared" si="7"/>
        <v>244</v>
      </c>
      <c r="J38" s="186">
        <f>12*'2026 v. INVENTORY OF BRICKS'!B62</f>
        <v>192</v>
      </c>
      <c r="K38" s="189">
        <f t="shared" si="8"/>
        <v>52</v>
      </c>
      <c r="L38" s="189"/>
      <c r="M38" s="189"/>
      <c r="N38" s="190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</row>
    <row r="39" ht="22.5" customHeight="1">
      <c r="A39" s="176">
        <v>46106.0</v>
      </c>
      <c r="B39" s="186"/>
      <c r="C39" s="186"/>
      <c r="D39" s="186"/>
      <c r="E39" s="186">
        <v>200.0</v>
      </c>
      <c r="F39" s="187">
        <f t="shared" si="9"/>
        <v>200</v>
      </c>
      <c r="G39" s="188">
        <v>300.0</v>
      </c>
      <c r="H39" s="186">
        <v>0.0</v>
      </c>
      <c r="I39" s="186">
        <f t="shared" si="7"/>
        <v>352</v>
      </c>
      <c r="J39" s="186">
        <f>12*'2026 v. INVENTORY OF BRICKS'!B63</f>
        <v>216</v>
      </c>
      <c r="K39" s="189">
        <f t="shared" si="8"/>
        <v>136</v>
      </c>
      <c r="L39" s="189"/>
      <c r="M39" s="189"/>
      <c r="N39" s="190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</row>
    <row r="40" ht="22.5" customHeight="1">
      <c r="A40" s="176">
        <v>46107.0</v>
      </c>
      <c r="B40" s="186"/>
      <c r="C40" s="186"/>
      <c r="D40" s="186"/>
      <c r="E40" s="186">
        <v>200.0</v>
      </c>
      <c r="F40" s="187">
        <f t="shared" si="9"/>
        <v>200</v>
      </c>
      <c r="G40" s="188">
        <v>200.0</v>
      </c>
      <c r="H40" s="186">
        <v>0.0</v>
      </c>
      <c r="I40" s="186">
        <f t="shared" si="7"/>
        <v>336</v>
      </c>
      <c r="J40" s="186">
        <f>12*'2026 v. INVENTORY OF BRICKS'!B64</f>
        <v>288</v>
      </c>
      <c r="K40" s="189">
        <f t="shared" si="8"/>
        <v>48</v>
      </c>
      <c r="L40" s="189"/>
      <c r="M40" s="189"/>
      <c r="N40" s="190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</row>
    <row r="41" ht="22.5" customHeight="1">
      <c r="A41" s="193">
        <v>46108.0</v>
      </c>
      <c r="B41" s="194"/>
      <c r="C41" s="194"/>
      <c r="D41" s="194"/>
      <c r="E41" s="194">
        <v>0.0</v>
      </c>
      <c r="F41" s="194">
        <f t="shared" si="9"/>
        <v>200</v>
      </c>
      <c r="G41" s="195">
        <v>0.0</v>
      </c>
      <c r="H41" s="194">
        <v>0.0</v>
      </c>
      <c r="I41" s="194">
        <f t="shared" si="7"/>
        <v>48</v>
      </c>
      <c r="J41" s="194">
        <f>12*'2026 v. INVENTORY OF BRICKS'!B65</f>
        <v>0</v>
      </c>
      <c r="K41" s="196">
        <f t="shared" si="8"/>
        <v>48</v>
      </c>
      <c r="L41" s="196"/>
      <c r="M41" s="196"/>
      <c r="N41" s="200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  <c r="AA41" s="198"/>
      <c r="AB41" s="198"/>
    </row>
    <row r="42" ht="22.5" customHeight="1">
      <c r="A42" s="154">
        <v>46111.0</v>
      </c>
      <c r="B42" s="155"/>
      <c r="C42" s="155"/>
      <c r="D42" s="155"/>
      <c r="E42" s="155">
        <v>200.0</v>
      </c>
      <c r="F42" s="155">
        <f t="shared" si="9"/>
        <v>200</v>
      </c>
      <c r="G42" s="182">
        <v>200.0</v>
      </c>
      <c r="H42" s="155">
        <v>0.0</v>
      </c>
      <c r="I42" s="155">
        <f t="shared" si="7"/>
        <v>248</v>
      </c>
      <c r="J42" s="155">
        <f>9*'2026 v. INVENTORY OF BRICKS'!B66</f>
        <v>198</v>
      </c>
      <c r="K42" s="183">
        <f t="shared" si="8"/>
        <v>50</v>
      </c>
      <c r="L42" s="183"/>
      <c r="M42" s="183"/>
      <c r="N42" s="199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185"/>
      <c r="AB42" s="185"/>
    </row>
    <row r="43" ht="22.5" customHeight="1">
      <c r="A43" s="176">
        <v>46112.0</v>
      </c>
      <c r="B43" s="186"/>
      <c r="C43" s="186"/>
      <c r="D43" s="186"/>
      <c r="E43" s="186">
        <v>0.0</v>
      </c>
      <c r="F43" s="187">
        <f t="shared" si="9"/>
        <v>0</v>
      </c>
      <c r="G43" s="188">
        <v>200.0</v>
      </c>
      <c r="H43" s="186">
        <v>0.0</v>
      </c>
      <c r="I43" s="186">
        <f t="shared" si="7"/>
        <v>250</v>
      </c>
      <c r="J43" s="186">
        <f>12*'2026 v. INVENTORY OF BRICKS'!B67</f>
        <v>228</v>
      </c>
      <c r="K43" s="189">
        <f t="shared" si="8"/>
        <v>22</v>
      </c>
      <c r="L43" s="189"/>
      <c r="M43" s="189"/>
      <c r="N43" s="190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</row>
    <row r="44" ht="22.5" customHeight="1">
      <c r="A44" s="176">
        <v>46113.0</v>
      </c>
      <c r="B44" s="186"/>
      <c r="C44" s="186"/>
      <c r="D44" s="186"/>
      <c r="E44" s="186">
        <v>300.0</v>
      </c>
      <c r="F44" s="187">
        <f t="shared" si="9"/>
        <v>300</v>
      </c>
      <c r="G44" s="188">
        <v>0.0</v>
      </c>
      <c r="H44" s="186">
        <v>0.0</v>
      </c>
      <c r="I44" s="186">
        <f t="shared" si="7"/>
        <v>22</v>
      </c>
      <c r="J44" s="186">
        <f>12*'2026 v. INVENTORY OF BRICKS'!B68</f>
        <v>0</v>
      </c>
      <c r="K44" s="189">
        <f t="shared" si="8"/>
        <v>22</v>
      </c>
      <c r="L44" s="189"/>
      <c r="M44" s="189"/>
      <c r="N44" s="177" t="s">
        <v>129</v>
      </c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</row>
    <row r="45" ht="22.5" customHeight="1">
      <c r="A45" s="154">
        <v>46118.0</v>
      </c>
      <c r="B45" s="155"/>
      <c r="C45" s="155"/>
      <c r="D45" s="155"/>
      <c r="E45" s="155">
        <v>100.0</v>
      </c>
      <c r="F45" s="155">
        <f t="shared" si="9"/>
        <v>200</v>
      </c>
      <c r="G45" s="182">
        <v>200.0</v>
      </c>
      <c r="H45" s="155">
        <v>0.0</v>
      </c>
      <c r="I45" s="155">
        <f t="shared" si="7"/>
        <v>222</v>
      </c>
      <c r="J45" s="155">
        <f>11*'2026 v. INVENTORY OF BRICKS'!B69</f>
        <v>187</v>
      </c>
      <c r="K45" s="183">
        <f t="shared" si="8"/>
        <v>35</v>
      </c>
      <c r="L45" s="183"/>
      <c r="M45" s="183"/>
      <c r="N45" s="192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185"/>
      <c r="Z45" s="185"/>
      <c r="AA45" s="185"/>
      <c r="AB45" s="185"/>
    </row>
    <row r="46" ht="22.5" customHeight="1">
      <c r="A46" s="176">
        <v>46119.0</v>
      </c>
      <c r="B46" s="186"/>
      <c r="C46" s="186"/>
      <c r="D46" s="186"/>
      <c r="E46" s="186">
        <v>200.0</v>
      </c>
      <c r="F46" s="187">
        <f t="shared" si="9"/>
        <v>200</v>
      </c>
      <c r="G46" s="188">
        <v>200.0</v>
      </c>
      <c r="H46" s="186">
        <v>0.0</v>
      </c>
      <c r="I46" s="186">
        <f t="shared" si="7"/>
        <v>235</v>
      </c>
      <c r="J46" s="186">
        <f>12*'2026 v. INVENTORY OF BRICKS'!B70</f>
        <v>228</v>
      </c>
      <c r="K46" s="189">
        <f t="shared" si="8"/>
        <v>7</v>
      </c>
      <c r="L46" s="189"/>
      <c r="M46" s="189"/>
      <c r="N46" s="177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  <c r="AB46" s="191"/>
    </row>
    <row r="47" ht="22.5" customHeight="1">
      <c r="A47" s="176">
        <v>46121.0</v>
      </c>
      <c r="B47" s="186"/>
      <c r="C47" s="186"/>
      <c r="D47" s="186"/>
      <c r="E47" s="186">
        <v>100.0</v>
      </c>
      <c r="F47" s="187">
        <f t="shared" si="9"/>
        <v>200</v>
      </c>
      <c r="G47" s="188">
        <v>100.0</v>
      </c>
      <c r="H47" s="186">
        <v>0.0</v>
      </c>
      <c r="I47" s="186">
        <f t="shared" si="7"/>
        <v>107</v>
      </c>
      <c r="J47" s="186">
        <f>10*'2026 v. INVENTORY OF BRICKS'!B71</f>
        <v>80</v>
      </c>
      <c r="K47" s="189">
        <f t="shared" si="8"/>
        <v>27</v>
      </c>
      <c r="L47" s="189"/>
      <c r="M47" s="189"/>
      <c r="N47" s="177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  <c r="AA47" s="191"/>
      <c r="AB47" s="191"/>
    </row>
    <row r="48" ht="22.5" customHeight="1">
      <c r="A48" s="154">
        <v>46125.0</v>
      </c>
      <c r="B48" s="155"/>
      <c r="C48" s="155"/>
      <c r="D48" s="155"/>
      <c r="E48" s="155">
        <v>250.0</v>
      </c>
      <c r="F48" s="155">
        <f t="shared" si="9"/>
        <v>250</v>
      </c>
      <c r="G48" s="182">
        <v>200.0</v>
      </c>
      <c r="H48" s="155">
        <v>0.0</v>
      </c>
      <c r="I48" s="155">
        <f t="shared" si="7"/>
        <v>227</v>
      </c>
      <c r="J48" s="155">
        <f>10*'2026 v. INVENTORY OF BRICKS'!B72</f>
        <v>190</v>
      </c>
      <c r="K48" s="183">
        <f t="shared" si="8"/>
        <v>37</v>
      </c>
      <c r="L48" s="183"/>
      <c r="M48" s="183"/>
      <c r="N48" s="192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  <c r="AA48" s="185"/>
      <c r="AB48" s="185"/>
    </row>
    <row r="49" ht="22.5" customHeight="1">
      <c r="A49" s="176">
        <v>46126.0</v>
      </c>
      <c r="B49" s="186"/>
      <c r="C49" s="186"/>
      <c r="D49" s="186"/>
      <c r="E49" s="186">
        <v>100.0</v>
      </c>
      <c r="F49" s="186">
        <f t="shared" si="9"/>
        <v>100</v>
      </c>
      <c r="G49" s="188">
        <v>250.0</v>
      </c>
      <c r="H49" s="186">
        <v>0.0</v>
      </c>
      <c r="I49" s="186">
        <f t="shared" si="7"/>
        <v>287</v>
      </c>
      <c r="J49" s="186">
        <f>10*'2026 v. INVENTORY OF BRICKS'!B73</f>
        <v>80</v>
      </c>
      <c r="K49" s="189">
        <f t="shared" si="8"/>
        <v>207</v>
      </c>
      <c r="L49" s="189"/>
      <c r="M49" s="189"/>
      <c r="N49" s="177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</row>
    <row r="50" ht="22.5" customHeight="1">
      <c r="A50" s="176">
        <v>46127.0</v>
      </c>
      <c r="B50" s="186"/>
      <c r="C50" s="186"/>
      <c r="D50" s="186"/>
      <c r="E50" s="186">
        <v>250.0</v>
      </c>
      <c r="F50" s="186">
        <f t="shared" si="9"/>
        <v>250</v>
      </c>
      <c r="G50" s="188">
        <v>100.0</v>
      </c>
      <c r="H50" s="186">
        <v>0.0</v>
      </c>
      <c r="I50" s="186">
        <f t="shared" si="7"/>
        <v>307</v>
      </c>
      <c r="J50" s="186">
        <f>10*'2026 v. INVENTORY OF BRICKS'!B74</f>
        <v>200</v>
      </c>
      <c r="K50" s="189">
        <f t="shared" si="8"/>
        <v>107</v>
      </c>
      <c r="L50" s="189"/>
      <c r="M50" s="189"/>
      <c r="N50" s="177"/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91"/>
      <c r="Z50" s="191"/>
      <c r="AA50" s="191"/>
      <c r="AB50" s="191"/>
    </row>
    <row r="51" ht="22.5" customHeight="1">
      <c r="A51" s="176">
        <v>46128.0</v>
      </c>
      <c r="B51" s="186"/>
      <c r="C51" s="186"/>
      <c r="D51" s="186"/>
      <c r="E51" s="186">
        <v>0.0</v>
      </c>
      <c r="F51" s="186">
        <f t="shared" si="9"/>
        <v>250</v>
      </c>
      <c r="G51" s="188">
        <v>0.0</v>
      </c>
      <c r="H51" s="186">
        <v>0.0</v>
      </c>
      <c r="I51" s="186">
        <f t="shared" si="7"/>
        <v>107</v>
      </c>
      <c r="J51" s="186">
        <f>11*'2026 v. INVENTORY OF BRICKS'!B75</f>
        <v>99</v>
      </c>
      <c r="K51" s="189">
        <f t="shared" si="8"/>
        <v>8</v>
      </c>
      <c r="L51" s="189"/>
      <c r="M51" s="189"/>
      <c r="N51" s="177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  <c r="AA51" s="191"/>
      <c r="AB51" s="191"/>
    </row>
    <row r="52" ht="22.5" customHeight="1">
      <c r="A52" s="154">
        <v>46132.0</v>
      </c>
      <c r="B52" s="155"/>
      <c r="C52" s="155"/>
      <c r="D52" s="155"/>
      <c r="E52" s="155">
        <v>200.0</v>
      </c>
      <c r="F52" s="155">
        <f t="shared" si="9"/>
        <v>250</v>
      </c>
      <c r="G52" s="182">
        <v>200.0</v>
      </c>
      <c r="H52" s="155">
        <v>0.0</v>
      </c>
      <c r="I52" s="155">
        <f t="shared" si="7"/>
        <v>208</v>
      </c>
      <c r="J52" s="155">
        <f>11*'2026 v. INVENTORY OF BRICKS'!B76</f>
        <v>165</v>
      </c>
      <c r="K52" s="183">
        <f t="shared" si="8"/>
        <v>43</v>
      </c>
      <c r="L52" s="183"/>
      <c r="M52" s="183"/>
      <c r="N52" s="192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185"/>
      <c r="AA52" s="185"/>
      <c r="AB52" s="185"/>
    </row>
    <row r="53" ht="22.5" customHeight="1">
      <c r="A53" s="176">
        <v>46133.0</v>
      </c>
      <c r="B53" s="186"/>
      <c r="C53" s="186"/>
      <c r="D53" s="186"/>
      <c r="E53" s="186">
        <v>200.0</v>
      </c>
      <c r="F53" s="186">
        <f t="shared" si="9"/>
        <v>200</v>
      </c>
      <c r="G53" s="188">
        <v>250.0</v>
      </c>
      <c r="H53" s="186">
        <v>0.0</v>
      </c>
      <c r="I53" s="186">
        <f t="shared" si="7"/>
        <v>293</v>
      </c>
      <c r="J53" s="186">
        <f>11*'2026 v. INVENTORY OF BRICKS'!B77</f>
        <v>176</v>
      </c>
      <c r="K53" s="189">
        <f t="shared" si="8"/>
        <v>117</v>
      </c>
      <c r="L53" s="189"/>
      <c r="M53" s="189"/>
      <c r="N53" s="177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  <c r="AA53" s="191"/>
      <c r="AB53" s="191"/>
    </row>
    <row r="54" ht="22.5" customHeight="1">
      <c r="A54" s="176">
        <v>46134.0</v>
      </c>
      <c r="B54" s="186"/>
      <c r="C54" s="186"/>
      <c r="D54" s="186"/>
      <c r="E54" s="186">
        <v>282.0</v>
      </c>
      <c r="F54" s="186">
        <f t="shared" si="9"/>
        <v>282</v>
      </c>
      <c r="G54" s="188">
        <v>200.0</v>
      </c>
      <c r="H54" s="186">
        <v>0.0</v>
      </c>
      <c r="I54" s="186">
        <f t="shared" si="7"/>
        <v>317</v>
      </c>
      <c r="J54" s="186">
        <f>11*'2026 v. INVENTORY OF BRICKS'!B78</f>
        <v>220</v>
      </c>
      <c r="K54" s="189">
        <f t="shared" si="8"/>
        <v>97</v>
      </c>
      <c r="L54" s="189"/>
      <c r="M54" s="189"/>
      <c r="N54" s="177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</row>
    <row r="55" ht="22.5" customHeight="1">
      <c r="A55" s="176">
        <v>46135.0</v>
      </c>
      <c r="B55" s="186"/>
      <c r="C55" s="186"/>
      <c r="D55" s="186"/>
      <c r="E55" s="186">
        <v>100.0</v>
      </c>
      <c r="F55" s="186">
        <f t="shared" si="9"/>
        <v>100</v>
      </c>
      <c r="G55" s="188">
        <v>282.0</v>
      </c>
      <c r="H55" s="186">
        <v>0.0</v>
      </c>
      <c r="I55" s="186">
        <f t="shared" si="7"/>
        <v>379</v>
      </c>
      <c r="J55" s="186">
        <f>10*'2026 v. INVENTORY OF BRICKS'!B79</f>
        <v>190</v>
      </c>
      <c r="K55" s="189">
        <f t="shared" si="8"/>
        <v>189</v>
      </c>
      <c r="L55" s="189"/>
      <c r="M55" s="189"/>
      <c r="N55" s="177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  <c r="AA55" s="191"/>
      <c r="AB55" s="191"/>
    </row>
    <row r="56" ht="22.5" customHeight="1">
      <c r="A56" s="154">
        <v>46139.0</v>
      </c>
      <c r="B56" s="155"/>
      <c r="C56" s="155"/>
      <c r="D56" s="155"/>
      <c r="E56" s="155"/>
      <c r="F56" s="155">
        <f t="shared" si="9"/>
        <v>100</v>
      </c>
      <c r="G56" s="182"/>
      <c r="H56" s="155">
        <v>0.0</v>
      </c>
      <c r="I56" s="155">
        <f t="shared" si="7"/>
        <v>189</v>
      </c>
      <c r="J56" s="155">
        <f>10*'2026 v. INVENTORY OF BRICKS'!B83</f>
        <v>0</v>
      </c>
      <c r="K56" s="183">
        <f t="shared" si="8"/>
        <v>189</v>
      </c>
      <c r="L56" s="183"/>
      <c r="M56" s="183"/>
      <c r="N56" s="192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  <c r="Z56" s="185"/>
      <c r="AA56" s="185"/>
      <c r="AB56" s="185"/>
    </row>
    <row r="57" ht="22.5" customHeight="1">
      <c r="A57" s="201"/>
      <c r="B57" s="202"/>
      <c r="C57" s="202"/>
      <c r="D57" s="202"/>
      <c r="E57" s="202"/>
      <c r="F57" s="202">
        <f t="shared" si="9"/>
        <v>100</v>
      </c>
      <c r="G57" s="203"/>
      <c r="H57" s="202"/>
      <c r="I57" s="202">
        <f t="shared" si="7"/>
        <v>189</v>
      </c>
      <c r="J57" s="202">
        <f>10*'2026 v. INVENTORY OF BRICKS'!B84</f>
        <v>0</v>
      </c>
      <c r="K57" s="204">
        <f t="shared" si="8"/>
        <v>189</v>
      </c>
      <c r="L57" s="204"/>
      <c r="M57" s="204"/>
      <c r="N57" s="205"/>
      <c r="O57" s="206"/>
      <c r="P57" s="206"/>
      <c r="Q57" s="206"/>
      <c r="R57" s="206"/>
      <c r="S57" s="206"/>
      <c r="T57" s="206"/>
      <c r="U57" s="206"/>
      <c r="V57" s="206"/>
      <c r="W57" s="206"/>
      <c r="X57" s="206"/>
      <c r="Y57" s="206"/>
      <c r="Z57" s="206"/>
      <c r="AA57" s="206"/>
      <c r="AB57" s="206"/>
    </row>
    <row r="58" ht="22.5" customHeight="1">
      <c r="A58" s="201"/>
      <c r="B58" s="202"/>
      <c r="C58" s="202"/>
      <c r="D58" s="202"/>
      <c r="E58" s="202"/>
      <c r="F58" s="202">
        <f t="shared" si="9"/>
        <v>100</v>
      </c>
      <c r="G58" s="203"/>
      <c r="H58" s="202"/>
      <c r="I58" s="202">
        <f t="shared" si="7"/>
        <v>189</v>
      </c>
      <c r="J58" s="202">
        <f>10*'2026 v. INVENTORY OF BRICKS'!B85</f>
        <v>0</v>
      </c>
      <c r="K58" s="204">
        <f t="shared" si="8"/>
        <v>189</v>
      </c>
      <c r="L58" s="204"/>
      <c r="M58" s="204"/>
      <c r="N58" s="205"/>
      <c r="O58" s="206"/>
      <c r="P58" s="206"/>
      <c r="Q58" s="206"/>
      <c r="R58" s="206"/>
      <c r="S58" s="206"/>
      <c r="T58" s="206"/>
      <c r="U58" s="206"/>
      <c r="V58" s="206"/>
      <c r="W58" s="206"/>
      <c r="X58" s="206"/>
      <c r="Y58" s="206"/>
      <c r="Z58" s="206"/>
      <c r="AA58" s="206"/>
      <c r="AB58" s="206"/>
    </row>
    <row r="59" ht="22.5" customHeight="1">
      <c r="A59" s="201"/>
      <c r="B59" s="202"/>
      <c r="C59" s="202"/>
      <c r="D59" s="202"/>
      <c r="E59" s="202"/>
      <c r="F59" s="202">
        <f t="shared" si="9"/>
        <v>100</v>
      </c>
      <c r="G59" s="203"/>
      <c r="H59" s="202"/>
      <c r="I59" s="202">
        <f t="shared" si="7"/>
        <v>189</v>
      </c>
      <c r="J59" s="202">
        <f>10*'2026 v. INVENTORY OF BRICKS'!B86</f>
        <v>0</v>
      </c>
      <c r="K59" s="204">
        <f t="shared" si="8"/>
        <v>189</v>
      </c>
      <c r="L59" s="204"/>
      <c r="M59" s="204"/>
      <c r="N59" s="205"/>
      <c r="O59" s="206"/>
      <c r="P59" s="206"/>
      <c r="Q59" s="206"/>
      <c r="R59" s="206"/>
      <c r="S59" s="206"/>
      <c r="T59" s="206"/>
      <c r="U59" s="206"/>
      <c r="V59" s="206"/>
      <c r="W59" s="206"/>
      <c r="X59" s="206"/>
      <c r="Y59" s="206"/>
      <c r="Z59" s="206"/>
      <c r="AA59" s="206"/>
      <c r="AB59" s="206"/>
    </row>
    <row r="60" ht="22.5" customHeight="1">
      <c r="A60" s="201"/>
      <c r="B60" s="202"/>
      <c r="C60" s="202"/>
      <c r="D60" s="202"/>
      <c r="E60" s="202"/>
      <c r="F60" s="202">
        <f>F58+E60-G60</f>
        <v>100</v>
      </c>
      <c r="G60" s="203"/>
      <c r="H60" s="202"/>
      <c r="I60" s="202">
        <f>H60+G60+K58</f>
        <v>189</v>
      </c>
      <c r="J60" s="202">
        <f>10*'2026 v. INVENTORY OF BRICKS'!B86</f>
        <v>0</v>
      </c>
      <c r="K60" s="204">
        <f t="shared" si="8"/>
        <v>189</v>
      </c>
      <c r="L60" s="204"/>
      <c r="M60" s="204"/>
      <c r="N60" s="205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6"/>
      <c r="Z60" s="206"/>
      <c r="AA60" s="206"/>
      <c r="AB60" s="206"/>
    </row>
  </sheetData>
  <dataValidations>
    <dataValidation type="custom" allowBlank="1" showDropDown="1" sqref="A2:A60">
      <formula1>OR(NOT(ISERROR(DATEVALUE(A2))), AND(ISNUMBER(A2), LEFT(CELL("format", A2))="D"))</formula1>
    </dataValidation>
    <dataValidation type="custom" allowBlank="1" showDropDown="1" sqref="E2:J60 M2:M60">
      <formula1>AND(ISNUMBER(E2),(NOT(OR(NOT(ISERROR(DATEVALUE(E2))), AND(ISNUMBER(E2), LEFT(CELL("format", E2))="D")))))</formula1>
    </dataValidation>
    <dataValidation type="custom" allowBlank="1" showDropDown="1" sqref="B2:B60">
      <formula1>AND(ISNUMBER(B2),(NOT(OR(NOT(ISERROR(DATEVALUE(B2))), AND(ISNUMBER(B2), LEFT(CELL("format", B2))="D")))))</formula1>
    </dataValidation>
  </dataValidations>
  <drawing r:id="rId4"/>
  <legacyDrawing r:id="rId5"/>
  <tableParts count="1">
    <tablePart r:id="rId7"/>
  </tableParts>
</worksheet>
</file>